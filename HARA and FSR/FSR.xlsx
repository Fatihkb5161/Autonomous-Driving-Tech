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mefat\OneDrive\Masaüstü\OTONOM SÜRÜŞ\UZMANLIK EĞİTİMİ\FEV\1.)Kayıtlar\Fonksiyonel Güvenlik ve Sistem Mühendisliği\"/>
    </mc:Choice>
  </mc:AlternateContent>
  <xr:revisionPtr revIDLastSave="0" documentId="13_ncr:1_{3409EBB0-0791-4DAE-83C7-66AF81090934}" xr6:coauthVersionLast="47" xr6:coauthVersionMax="47" xr10:uidLastSave="{00000000-0000-0000-0000-000000000000}"/>
  <bookViews>
    <workbookView xWindow="-108" yWindow="-108" windowWidth="23256" windowHeight="12456" activeTab="1" xr2:uid="{9DD6FEEF-640B-4FD6-9B01-CD95F0D9A694}"/>
  </bookViews>
  <sheets>
    <sheet name="Item Definition" sheetId="3" r:id="rId1"/>
    <sheet name="HARA" sheetId="1" r:id="rId2"/>
    <sheet name="FSC" sheetId="5" r:id="rId3"/>
    <sheet name="List of failure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9" i="1" l="1"/>
  <c r="M39" i="1" s="1"/>
  <c r="L40" i="1"/>
  <c r="M40" i="1" s="1"/>
  <c r="L41" i="1"/>
  <c r="M41" i="1" s="1"/>
  <c r="L42" i="1"/>
  <c r="M42" i="1" s="1"/>
  <c r="L43" i="1"/>
  <c r="M43" i="1" s="1"/>
  <c r="L44" i="1"/>
  <c r="M44" i="1" s="1"/>
  <c r="L45" i="1"/>
  <c r="M45" i="1" s="1"/>
  <c r="L46" i="1"/>
  <c r="M46" i="1" s="1"/>
  <c r="L47" i="1"/>
  <c r="M47" i="1" s="1"/>
  <c r="L48" i="1"/>
  <c r="M48" i="1" s="1"/>
  <c r="L49" i="1"/>
  <c r="M49" i="1" s="1"/>
  <c r="L50" i="1"/>
  <c r="M50" i="1" s="1"/>
  <c r="L51" i="1"/>
  <c r="M51" i="1" s="1"/>
  <c r="L52" i="1"/>
  <c r="M52" i="1" s="1"/>
  <c r="L53" i="1"/>
  <c r="M53" i="1" s="1"/>
  <c r="L54" i="1"/>
  <c r="M54" i="1" s="1"/>
  <c r="L55" i="1"/>
  <c r="M55" i="1" s="1"/>
  <c r="L56" i="1"/>
  <c r="M56" i="1" s="1"/>
  <c r="L57" i="1"/>
  <c r="M57" i="1" s="1"/>
  <c r="L58" i="1"/>
  <c r="M58" i="1" s="1"/>
  <c r="L10" i="1"/>
  <c r="M10" i="1" s="1"/>
  <c r="L11" i="1"/>
  <c r="M11" i="1" s="1"/>
  <c r="L12" i="1"/>
  <c r="M12" i="1" s="1"/>
  <c r="L13" i="1"/>
  <c r="M13" i="1" s="1"/>
  <c r="L14" i="1"/>
  <c r="M14" i="1" s="1"/>
  <c r="L15" i="1"/>
  <c r="M15" i="1" s="1"/>
  <c r="L16" i="1"/>
  <c r="M16" i="1" s="1"/>
  <c r="L17" i="1"/>
  <c r="M17" i="1" s="1"/>
  <c r="L18" i="1"/>
  <c r="M18" i="1" s="1"/>
  <c r="L19" i="1"/>
  <c r="M19" i="1" s="1"/>
  <c r="L20" i="1"/>
  <c r="M20" i="1" s="1"/>
  <c r="L21" i="1"/>
  <c r="M21" i="1" s="1"/>
  <c r="L22" i="1"/>
  <c r="M22" i="1" s="1"/>
  <c r="L23" i="1"/>
  <c r="M23" i="1" s="1"/>
  <c r="L24" i="1"/>
  <c r="M24" i="1" s="1"/>
  <c r="L25" i="1"/>
  <c r="M25" i="1" s="1"/>
  <c r="L26" i="1"/>
  <c r="M26" i="1" s="1"/>
  <c r="L27" i="1"/>
  <c r="M27" i="1" s="1"/>
  <c r="L28" i="1"/>
  <c r="L29" i="1"/>
  <c r="M29" i="1" s="1"/>
  <c r="L30" i="1"/>
  <c r="M30" i="1" s="1"/>
  <c r="L31" i="1"/>
  <c r="M31" i="1" s="1"/>
  <c r="L32" i="1"/>
  <c r="M32" i="1" s="1"/>
  <c r="L33" i="1"/>
  <c r="M33" i="1" s="1"/>
  <c r="L34" i="1"/>
  <c r="M34" i="1" s="1"/>
  <c r="L35" i="1"/>
  <c r="M35" i="1" s="1"/>
  <c r="L36" i="1"/>
  <c r="M36" i="1" s="1"/>
  <c r="L37" i="1"/>
  <c r="M37" i="1" s="1"/>
  <c r="L38" i="1"/>
  <c r="M38" i="1" s="1"/>
  <c r="M28" i="1"/>
  <c r="L9" i="1"/>
  <c r="M9"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Subasi, Engin</author>
  </authors>
  <commentList>
    <comment ref="F8" authorId="0" shapeId="0" xr:uid="{2B846E85-7C40-4B59-8DBC-6F5C5DAB95F9}">
      <text>
        <r>
          <rPr>
            <b/>
            <sz val="9"/>
            <color indexed="81"/>
            <rFont val="Tahoma"/>
            <charset val="1"/>
          </rPr>
          <t>Subasi, Engin:</t>
        </r>
        <r>
          <rPr>
            <sz val="9"/>
            <color indexed="81"/>
            <rFont val="Tahoma"/>
            <charset val="1"/>
          </rPr>
          <t xml:space="preserve">
Off
Startup
Driving
Degraded
Zero torque
Shut down</t>
        </r>
      </text>
    </comment>
    <comment ref="G8" authorId="0" shapeId="0" xr:uid="{A45628E6-8E4F-4BF9-A786-AE5619EC8C95}">
      <text>
        <r>
          <rPr>
            <b/>
            <sz val="9"/>
            <color indexed="81"/>
            <rFont val="Tahoma"/>
            <charset val="1"/>
          </rPr>
          <t>Subasi, Engin:</t>
        </r>
        <r>
          <rPr>
            <sz val="9"/>
            <color indexed="81"/>
            <rFont val="Tahoma"/>
            <charset val="1"/>
          </rPr>
          <t xml:space="preserve">
FTTI should be defined per safety goals</t>
        </r>
      </text>
    </comment>
    <comment ref="H8" authorId="0" shapeId="0" xr:uid="{1A8BF1AC-D4F7-48C5-8F5D-97EFD112215F}">
      <text>
        <r>
          <rPr>
            <b/>
            <sz val="9"/>
            <color indexed="81"/>
            <rFont val="Tahoma"/>
            <charset val="1"/>
          </rPr>
          <t>Subasi, Engin:</t>
        </r>
        <r>
          <rPr>
            <sz val="9"/>
            <color indexed="81"/>
            <rFont val="Tahoma"/>
            <charset val="1"/>
          </rPr>
          <t xml:space="preserve">
Electrical motor
Motor controller
Encoder/Sensors
etc.</t>
        </r>
      </text>
    </comment>
  </commentList>
</comments>
</file>

<file path=xl/sharedStrings.xml><?xml version="1.0" encoding="utf-8"?>
<sst xmlns="http://schemas.openxmlformats.org/spreadsheetml/2006/main" count="549" uniqueCount="179">
  <si>
    <t xml:space="preserve">Operational Situation	</t>
  </si>
  <si>
    <t xml:space="preserve">Function/Behavior	</t>
  </si>
  <si>
    <t xml:space="preserve">Hazardous Event	</t>
  </si>
  <si>
    <t>ASIL</t>
  </si>
  <si>
    <t>Safety Goal</t>
  </si>
  <si>
    <t>Severity (S)</t>
  </si>
  <si>
    <t>Exposure (E)</t>
  </si>
  <si>
    <t>Controllability (C)</t>
  </si>
  <si>
    <t xml:space="preserve">Item Name	</t>
  </si>
  <si>
    <t xml:space="preserve">Item Overview	</t>
  </si>
  <si>
    <t xml:space="preserve">Operational Environment	</t>
  </si>
  <si>
    <t>Dependencies</t>
  </si>
  <si>
    <t>Interfaces</t>
  </si>
  <si>
    <t xml:space="preserve">Operational States	</t>
  </si>
  <si>
    <t xml:space="preserve">Item Functions	</t>
  </si>
  <si>
    <t xml:space="preserve">Example Malfunctions	</t>
  </si>
  <si>
    <t>Electric Vehicle Motor Controller System</t>
  </si>
  <si>
    <t>The Motor Controller System controls the electric traction motor of the vehicle. It receives torque and/or speed requests from the Vehicle Control Unit (VCU) over a communication bus. Based on the received commands and motor feedback data (current, voltage, temperature), the Motor Controller regulates motor torque output by controlling the inverter's three-phase output.</t>
  </si>
  <si>
    <t>Passenger and light commercial electric vehicles, operating in urban, highway, and rural environments, across various weather conditions (hot/cold, rain, snow).</t>
  </si>
  <si>
    <t>- Vehicle Control Unit (VCU): Provides torque/speed request and receives motor status/faults.
- High-Voltage Battery System: Supplies DC power to the inverter.
- Inverter Power Stage (IGBTs or MOSFETs): Generates three-phase AC signals.
- Motor Sensors: Motor temperature, phase currents, and phase voltages.</t>
  </si>
  <si>
    <t>- Reliable communication with the VCU (e.g., over CAN bus).
- Adequate cooling system for motor and inverter.
- Correct functionality of motor sensors (current, voltage, temperature).
- Stable high-voltage supply from the battery system.</t>
  </si>
  <si>
    <t>- System Initialization (on power-up).
- Normal Operation (motor torque generation according to request).
- Regenerative Braking Mode (reverse torque generation as commanded).
- Standstill/Ready Mode (zero torque, awaiting command).
- Fault/Degraded Operation Mode (torque limitation or shutdown based on detected faults).</t>
  </si>
  <si>
    <t>1. Receive and interpret torque and/or speed request from VCU.
2. Generate appropriate three-phase motor control signals to meet requested torque/speed.
3. Monitor motor parameters (current, voltage, temperature) in real-time.
4. Detect and manage faults (e.g., overtemperature, overcurrent, loss of phase).
5. Transition to safe state (e.g., torque reduction or shutdown) upon fault detection.
6. Report motor status, sensor values, and fault information back to VCU.</t>
  </si>
  <si>
    <t>- Torque output deviates from requested value.
- No torque output despite valid request.
- Excessive torque output (over torque).
- Unintended motor torque at standstill.
- Failure to detect overheating.
- Incorrect fault reporting to VCU.</t>
  </si>
  <si>
    <t>Driving high speed in highway</t>
  </si>
  <si>
    <t>Torque Control for Vehicle Propulsion and Regenerative Braking</t>
  </si>
  <si>
    <t>Vehicle Level Item Functions</t>
  </si>
  <si>
    <t>Torque Control</t>
  </si>
  <si>
    <t>Rear-end collision</t>
  </si>
  <si>
    <t>ID</t>
  </si>
  <si>
    <t>Prevent unintended torque application</t>
  </si>
  <si>
    <t>SUM</t>
  </si>
  <si>
    <t>Does Not</t>
  </si>
  <si>
    <t>Stops</t>
  </si>
  <si>
    <t>Unintended</t>
  </si>
  <si>
    <t>Locked</t>
  </si>
  <si>
    <t>Excessive</t>
  </si>
  <si>
    <t>Reduced</t>
  </si>
  <si>
    <t>Too Quickly</t>
  </si>
  <si>
    <t>Too Slowly</t>
  </si>
  <si>
    <t>Reverse</t>
  </si>
  <si>
    <t>Uneven</t>
  </si>
  <si>
    <t>Duration Too Long</t>
  </si>
  <si>
    <t>Duration Too Short</t>
  </si>
  <si>
    <t>Delayed</t>
  </si>
  <si>
    <t>Intermittent</t>
  </si>
  <si>
    <t>Malfunction</t>
  </si>
  <si>
    <t>Behaviour</t>
  </si>
  <si>
    <t>Unintended acceleration</t>
  </si>
  <si>
    <t>Unintended deceleration</t>
  </si>
  <si>
    <t>Less acceleration than expected</t>
  </si>
  <si>
    <t>Front-end collision</t>
  </si>
  <si>
    <t>Uneven acceleration control</t>
  </si>
  <si>
    <t>Front/Rear end collision</t>
  </si>
  <si>
    <t>Regenerative Braking</t>
  </si>
  <si>
    <t>Prevent stops of torque application</t>
  </si>
  <si>
    <t>Prevent reduced torque application than intended</t>
  </si>
  <si>
    <t>Prevent uneven torque control</t>
  </si>
  <si>
    <t>Driving at constant speed - 30kph Zone</t>
  </si>
  <si>
    <t xml:space="preserve">Driving at constant speed - countryroad (60kph-100kph) </t>
  </si>
  <si>
    <t>Launching - Exiting parking slot: see low speed manoeuvering</t>
  </si>
  <si>
    <t>Driving high speed in highway snowy whether</t>
  </si>
  <si>
    <t>Launching - Exiting charging stations on downhill</t>
  </si>
  <si>
    <t>Low-Speed Manoeuvering - Level crossing</t>
  </si>
  <si>
    <t>Vehicle Stationary  - Heavy Traffic: Stop &amp; Go (various locations)</t>
  </si>
  <si>
    <t>SG1</t>
  </si>
  <si>
    <t>SG2</t>
  </si>
  <si>
    <t>SG3</t>
  </si>
  <si>
    <t>Safety Goals</t>
  </si>
  <si>
    <t>Functional Safety Requirements</t>
  </si>
  <si>
    <t>FTTI</t>
  </si>
  <si>
    <t xml:space="preserve">Allocation </t>
  </si>
  <si>
    <t>Operational mode</t>
  </si>
  <si>
    <t>More acceleration than expected</t>
  </si>
  <si>
    <t>Less deceleration than expected</t>
  </si>
  <si>
    <t>More deceleration than expected</t>
  </si>
  <si>
    <t>unintended acceleration</t>
  </si>
  <si>
    <t>Does not regenerative braking</t>
  </si>
  <si>
    <t>Locked generative braking</t>
  </si>
  <si>
    <t>Unintended regenerative braking</t>
  </si>
  <si>
    <t>Zero acceleration</t>
  </si>
  <si>
    <t>Prevent unintended activetion of regenerative braking</t>
  </si>
  <si>
    <t>Prevent excessive torque application than intended</t>
  </si>
  <si>
    <t>Prevent reduced application of regenerative braking</t>
  </si>
  <si>
    <t>Prevent excessive application of regenerative braking</t>
  </si>
  <si>
    <t>_</t>
  </si>
  <si>
    <t>Prevent prelonged torque application</t>
  </si>
  <si>
    <t>Prevent application of does not regenerative braking</t>
  </si>
  <si>
    <t>Prevent application of reversed regenerative braking</t>
  </si>
  <si>
    <t>Prevent application of locked generative braking</t>
  </si>
  <si>
    <t>Prevent reverse torque application</t>
  </si>
  <si>
    <t>Prevent too quickly torque application</t>
  </si>
  <si>
    <t>Prevent application of prelonged regenerative braking</t>
  </si>
  <si>
    <t>Prevent does not torque application</t>
  </si>
  <si>
    <t>Prevent locked torque application</t>
  </si>
  <si>
    <t>Prevent unintended application of regenerative braking</t>
  </si>
  <si>
    <t>Prevent stops torque application</t>
  </si>
  <si>
    <t>Prevent slowly torque application</t>
  </si>
  <si>
    <t>SG31</t>
  </si>
  <si>
    <t>Driver torque request shall be detected within 10 ms.</t>
  </si>
  <si>
    <t>Valid torque request shall be transferred to motor controller within 20 ms.</t>
  </si>
  <si>
    <t>Torque control algorithm shall generate appropriate torque output within 25 ms.</t>
  </si>
  <si>
    <t>Actual motor torque shall be monitored and compared with the requested value.</t>
  </si>
  <si>
    <t xml:space="preserve">	System shall notify driver of torque failure within 100 ms.</t>
  </si>
  <si>
    <t xml:space="preserve">	In case of actuator fault, a fallback torque shall be applied to ensure minimal movement</t>
  </si>
  <si>
    <t>Power supply voltage to torque control unit shall be monitored for drops below threshold.</t>
  </si>
  <si>
    <t>Diagnostic coverage of torque path shall be ≥ 99% during all active states.</t>
  </si>
  <si>
    <t>Faults in communication interfaces shall be detected and isolated within 50 ms.</t>
  </si>
  <si>
    <t xml:space="preserve">	If unexpected zero torque is detected during maneuvering, system shall switch to degraded mode.</t>
  </si>
  <si>
    <t>Startup, Driving</t>
  </si>
  <si>
    <t>Driving</t>
  </si>
  <si>
    <t>Driving, Degraded</t>
  </si>
  <si>
    <t>Degraded, Zero Torque</t>
  </si>
  <si>
    <t>All</t>
  </si>
  <si>
    <t>Off, Startup, Driving</t>
  </si>
  <si>
    <t>100 ms</t>
  </si>
  <si>
    <t>Encoder/Sensors</t>
  </si>
  <si>
    <t>Motor Control</t>
  </si>
  <si>
    <t>N/A</t>
  </si>
  <si>
    <t>Electrical Motor/Sensors</t>
  </si>
  <si>
    <t>HMI/Control Interface</t>
  </si>
  <si>
    <t>Electrical Motor</t>
  </si>
  <si>
    <t>Power Supply, Motor Control</t>
  </si>
  <si>
    <t>Motor Control, Network</t>
  </si>
  <si>
    <t>Reverse driving at low speed(various locations)</t>
  </si>
  <si>
    <t>Driving uphill</t>
  </si>
  <si>
    <t>150 ms</t>
  </si>
  <si>
    <t>200 ms</t>
  </si>
  <si>
    <t>The system shall inhibit torque application if unintended acceleration is detected.</t>
  </si>
  <si>
    <t>Torque shall be set to zero if unintended acceleration is detected.</t>
  </si>
  <si>
    <t>If encoder signal is lost, torque shall be immediately deactivated.</t>
  </si>
  <si>
    <t>If a torque request inconsistency is detected, the system shall disable torque.</t>
  </si>
  <si>
    <t>System shall validate sensor inputs before torque application.</t>
  </si>
  <si>
    <t>In the event of motor control failure, torque application shall be inhibited.</t>
  </si>
  <si>
    <t>The system shall only apply torque if all sensors report valid data.</t>
  </si>
  <si>
    <t>System shall prevent torque application when inconsistency is found between sensor inputs.</t>
  </si>
  <si>
    <t>Torque application shall be disabled in case of unvalidated sensor data at low speed.</t>
  </si>
  <si>
    <t>The system shall continuously monitor torque and apply immediate cutoff if irregularities are detected.</t>
  </si>
  <si>
    <t>Low-speed maneuvering</t>
  </si>
  <si>
    <t>Startup</t>
  </si>
  <si>
    <t>10ms</t>
  </si>
  <si>
    <t>Motor control</t>
  </si>
  <si>
    <t>Electrical motor</t>
  </si>
  <si>
    <t>Encoder / Sensors</t>
  </si>
  <si>
    <t>Control software</t>
  </si>
  <si>
    <t>Sensor interface</t>
  </si>
  <si>
    <t>System shall detect dual sensor failure and immediately shut off torque.</t>
  </si>
  <si>
    <t>Periodic validation of sensor paths shall be performed to ensure correct functionality.</t>
  </si>
  <si>
    <t>If sensor data is invalid or missing, the system shall reject torque request.</t>
  </si>
  <si>
    <t>If there is a discrepancy in torque sensors, the system shall alert the driver and prevent torque.</t>
  </si>
  <si>
    <t>In case of sensor failure, the system shall switch to a redundant sensor if available.</t>
  </si>
  <si>
    <t>If sensor redundancy fails, the system shall enter limp mode and prevent torque application.</t>
  </si>
  <si>
    <t>The system shall activate a backup path when a single sensor failure is detected.</t>
  </si>
  <si>
    <t>If redundant sensors are unavailable, the system shall alert the driver and disable torque output.</t>
  </si>
  <si>
    <t>In the case of complete sensor failure, the system shall reduce performance and prevent torque.</t>
  </si>
  <si>
    <t>Sensor failure shall trigger a diagnostic routine, which results in zero torque until resolution.</t>
  </si>
  <si>
    <t>Zero Torque</t>
  </si>
  <si>
    <t>50ms</t>
  </si>
  <si>
    <t>100ms</t>
  </si>
  <si>
    <t>Sensors, Control</t>
  </si>
  <si>
    <t>Encoder/Redundancy</t>
  </si>
  <si>
    <t>Sensors</t>
  </si>
  <si>
    <t>Encoder</t>
  </si>
  <si>
    <t>System shall start in zero-torque mode until valid encoder data is confirmed.</t>
  </si>
  <si>
    <t>During startup, system shall monitor for zero acceleration.</t>
  </si>
  <si>
    <t>In case of diagnostic failure during startup, torque shall be disabled until the issue is resolved.</t>
  </si>
  <si>
    <t>If sensor validation fails during startup, the system shall remain in zero-torque state.</t>
  </si>
  <si>
    <t>The system shall remain in degraded mode if startup conditions are not met.</t>
  </si>
  <si>
    <t>Torque application shall only occur after all initialization checks are passed successfully.</t>
  </si>
  <si>
    <t>If sensor failure occurs during startup, the system shall not engage torque and shall alert the driver.</t>
  </si>
  <si>
    <t>System shall verify that all torque-related signals are within safe limits before activation.</t>
  </si>
  <si>
    <t>During degraded startup, the system shall allow only minimal movement until torque is safe.</t>
  </si>
  <si>
    <t>The system shall disable any torque requests until safe startup conditions are verified.</t>
  </si>
  <si>
    <t>5ms</t>
  </si>
  <si>
    <t>Diagnostic manager</t>
  </si>
  <si>
    <t>control software</t>
  </si>
  <si>
    <t>motor control</t>
  </si>
  <si>
    <t>Encoder/sensors</t>
  </si>
  <si>
    <t>Driving(Low-speed)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</si>
</sst>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theme="1"/>
      <name val="Arial"/>
      <family val="2"/>
      <charset val="162"/>
    </font>
    <font>
      <b/>
      <sz val="10"/>
      <color theme="1"/>
      <name val="Arial"/>
      <family val="2"/>
    </font>
    <font>
      <sz val="11"/>
      <color theme="1"/>
      <name val="Arial"/>
      <family val="2"/>
      <charset val="162"/>
    </font>
    <font>
      <sz val="8"/>
      <name val="Arial"/>
      <family val="2"/>
      <charset val="162"/>
    </font>
    <font>
      <sz val="9"/>
      <color indexed="81"/>
      <name val="Tahoma"/>
      <charset val="1"/>
    </font>
    <font>
      <b/>
      <sz val="9"/>
      <color indexed="81"/>
      <name val="Tahoma"/>
      <charset val="1"/>
    </font>
    <font>
      <sz val="10"/>
      <color rgb="FF0D0D0D"/>
      <name val="Arial"/>
      <family val="2"/>
      <charset val="162"/>
    </font>
    <font>
      <sz val="10"/>
      <color theme="1"/>
      <name val="Calibri"/>
      <family val="2"/>
      <charset val="162"/>
    </font>
  </fonts>
  <fills count="4">
    <fill>
      <patternFill patternType="none"/>
    </fill>
    <fill>
      <patternFill patternType="gray125"/>
    </fill>
    <fill>
      <patternFill patternType="solid">
        <fgColor rgb="FFFFFF00"/>
        <bgColor indexed="64"/>
      </patternFill>
    </fill>
    <fill>
      <patternFill patternType="solid">
        <fgColor rgb="FFFFFFFF"/>
        <bgColor indexed="64"/>
      </patternFill>
    </fill>
  </fills>
  <borders count="2">
    <border>
      <left/>
      <right/>
      <top/>
      <bottom/>
      <diagonal/>
    </border>
    <border>
      <left style="thin">
        <color theme="2"/>
      </left>
      <right style="thin">
        <color theme="2"/>
      </right>
      <top style="thin">
        <color theme="2"/>
      </top>
      <bottom style="thin">
        <color theme="2"/>
      </bottom>
      <diagonal/>
    </border>
  </borders>
  <cellStyleXfs count="1">
    <xf numFmtId="0" fontId="0" fillId="0" borderId="0"/>
  </cellStyleXfs>
  <cellXfs count="18">
    <xf numFmtId="0" fontId="0" fillId="0" borderId="0" xfId="0"/>
    <xf numFmtId="0" fontId="0" fillId="0" borderId="0" xfId="0" applyAlignment="1">
      <alignment wrapText="1"/>
    </xf>
    <xf numFmtId="0" fontId="0" fillId="0" borderId="0" xfId="0" quotePrefix="1"/>
    <xf numFmtId="0" fontId="1" fillId="0" borderId="0" xfId="0" applyFont="1"/>
    <xf numFmtId="0" fontId="2" fillId="0" borderId="0" xfId="0" applyFont="1"/>
    <xf numFmtId="0" fontId="2" fillId="0" borderId="0" xfId="0" applyFont="1" applyAlignment="1">
      <alignment wrapText="1"/>
    </xf>
    <xf numFmtId="0" fontId="2" fillId="0" borderId="0" xfId="0" quotePrefix="1" applyFont="1" applyAlignment="1">
      <alignment wrapText="1"/>
    </xf>
    <xf numFmtId="0" fontId="0" fillId="0" borderId="0" xfId="0" applyAlignment="1">
      <alignment horizontal="center"/>
    </xf>
    <xf numFmtId="0" fontId="0" fillId="2" borderId="0" xfId="0" applyFill="1"/>
    <xf numFmtId="0" fontId="0" fillId="2" borderId="0" xfId="0" quotePrefix="1" applyFill="1"/>
    <xf numFmtId="0" fontId="6" fillId="0" borderId="0" xfId="0" applyFont="1"/>
    <xf numFmtId="0" fontId="7" fillId="0" borderId="0" xfId="0" applyFont="1"/>
    <xf numFmtId="0" fontId="0" fillId="0" borderId="0" xfId="0" applyFont="1" applyAlignment="1">
      <alignment horizontal="center"/>
    </xf>
    <xf numFmtId="0" fontId="0" fillId="0" borderId="0" xfId="0" applyFont="1"/>
    <xf numFmtId="0" fontId="6" fillId="0" borderId="0" xfId="0" applyFont="1" applyBorder="1"/>
    <xf numFmtId="0" fontId="0" fillId="0" borderId="0" xfId="0" applyFont="1" applyBorder="1"/>
    <xf numFmtId="0" fontId="0" fillId="0" borderId="0" xfId="0" applyBorder="1"/>
    <xf numFmtId="0" fontId="6" fillId="3" borderId="1" xfId="0" applyFont="1" applyFill="1" applyBorder="1" applyAlignment="1">
      <alignment vertical="center" wrapText="1"/>
    </xf>
  </cellXfs>
  <cellStyles count="1">
    <cellStyle name="Normal" xfId="0" builtinId="0"/>
  </cellStyles>
  <dxfs count="5">
    <dxf>
      <fill>
        <patternFill>
          <bgColor rgb="FFFFFF00"/>
        </patternFill>
      </fill>
    </dxf>
    <dxf>
      <fill>
        <patternFill>
          <bgColor rgb="FFFF0000"/>
        </patternFill>
      </fill>
    </dxf>
    <dxf>
      <fill>
        <patternFill>
          <bgColor rgb="FFFFC000"/>
        </patternFill>
      </fill>
    </dxf>
    <dxf>
      <fill>
        <patternFill>
          <bgColor theme="8" tint="0.39994506668294322"/>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19050</xdr:colOff>
      <xdr:row>13</xdr:row>
      <xdr:rowOff>561975</xdr:rowOff>
    </xdr:from>
    <xdr:to>
      <xdr:col>13</xdr:col>
      <xdr:colOff>460650</xdr:colOff>
      <xdr:row>15</xdr:row>
      <xdr:rowOff>580800</xdr:rowOff>
    </xdr:to>
    <xdr:sp macro="" textlink="">
      <xdr:nvSpPr>
        <xdr:cNvPr id="2" name="Rectangle 1">
          <a:extLst>
            <a:ext uri="{FF2B5EF4-FFF2-40B4-BE49-F238E27FC236}">
              <a16:creationId xmlns:a16="http://schemas.microsoft.com/office/drawing/2014/main" id="{97D844B5-1ACA-81DA-BDE8-1E08341D303A}"/>
            </a:ext>
          </a:extLst>
        </xdr:cNvPr>
        <xdr:cNvSpPr/>
      </xdr:nvSpPr>
      <xdr:spPr>
        <a:xfrm>
          <a:off x="10382250" y="3800475"/>
          <a:ext cx="2880000" cy="1800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tr-TR" sz="2000"/>
            <a:t>Electric Vehicle Motor Controller</a:t>
          </a:r>
        </a:p>
      </xdr:txBody>
    </xdr:sp>
    <xdr:clientData/>
  </xdr:twoCellAnchor>
  <xdr:twoCellAnchor>
    <xdr:from>
      <xdr:col>16</xdr:col>
      <xdr:colOff>0</xdr:colOff>
      <xdr:row>13</xdr:row>
      <xdr:rowOff>1066800</xdr:rowOff>
    </xdr:from>
    <xdr:to>
      <xdr:col>19</xdr:col>
      <xdr:colOff>66675</xdr:colOff>
      <xdr:row>15</xdr:row>
      <xdr:rowOff>47625</xdr:rowOff>
    </xdr:to>
    <xdr:sp macro="" textlink="">
      <xdr:nvSpPr>
        <xdr:cNvPr id="3" name="Rectangle 2">
          <a:extLst>
            <a:ext uri="{FF2B5EF4-FFF2-40B4-BE49-F238E27FC236}">
              <a16:creationId xmlns:a16="http://schemas.microsoft.com/office/drawing/2014/main" id="{3DFE7DA9-4F4B-8233-20A7-074D6897AFA2}"/>
            </a:ext>
          </a:extLst>
        </xdr:cNvPr>
        <xdr:cNvSpPr/>
      </xdr:nvSpPr>
      <xdr:spPr>
        <a:xfrm>
          <a:off x="14630400" y="4305300"/>
          <a:ext cx="1895475" cy="762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tr-TR" sz="2000">
              <a:solidFill>
                <a:schemeClr val="lt1"/>
              </a:solidFill>
              <a:latin typeface="+mn-lt"/>
              <a:ea typeface="+mn-ea"/>
              <a:cs typeface="+mn-cs"/>
            </a:rPr>
            <a:t>Electric Motor</a:t>
          </a:r>
        </a:p>
      </xdr:txBody>
    </xdr:sp>
    <xdr:clientData/>
  </xdr:twoCellAnchor>
  <xdr:twoCellAnchor>
    <xdr:from>
      <xdr:col>9</xdr:col>
      <xdr:colOff>19050</xdr:colOff>
      <xdr:row>11</xdr:row>
      <xdr:rowOff>9525</xdr:rowOff>
    </xdr:from>
    <xdr:to>
      <xdr:col>13</xdr:col>
      <xdr:colOff>460650</xdr:colOff>
      <xdr:row>11</xdr:row>
      <xdr:rowOff>909525</xdr:rowOff>
    </xdr:to>
    <xdr:sp macro="" textlink="">
      <xdr:nvSpPr>
        <xdr:cNvPr id="4" name="Rectangle 3">
          <a:extLst>
            <a:ext uri="{FF2B5EF4-FFF2-40B4-BE49-F238E27FC236}">
              <a16:creationId xmlns:a16="http://schemas.microsoft.com/office/drawing/2014/main" id="{7A3D6E3A-8548-43FD-8F06-809F1A4BDE10}"/>
            </a:ext>
          </a:extLst>
        </xdr:cNvPr>
        <xdr:cNvSpPr/>
      </xdr:nvSpPr>
      <xdr:spPr>
        <a:xfrm>
          <a:off x="10382250" y="1790700"/>
          <a:ext cx="2880000" cy="900000"/>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tr-TR" sz="2000">
              <a:solidFill>
                <a:schemeClr val="lt1"/>
              </a:solidFill>
              <a:latin typeface="+mn-lt"/>
              <a:ea typeface="+mn-ea"/>
              <a:cs typeface="+mn-cs"/>
            </a:rPr>
            <a:t>High Voltage Battery+Controller</a:t>
          </a:r>
        </a:p>
      </xdr:txBody>
    </xdr:sp>
    <xdr:clientData/>
  </xdr:twoCellAnchor>
  <xdr:twoCellAnchor>
    <xdr:from>
      <xdr:col>9</xdr:col>
      <xdr:colOff>9525</xdr:colOff>
      <xdr:row>17</xdr:row>
      <xdr:rowOff>714375</xdr:rowOff>
    </xdr:from>
    <xdr:to>
      <xdr:col>13</xdr:col>
      <xdr:colOff>451125</xdr:colOff>
      <xdr:row>17</xdr:row>
      <xdr:rowOff>1614375</xdr:rowOff>
    </xdr:to>
    <xdr:sp macro="" textlink="">
      <xdr:nvSpPr>
        <xdr:cNvPr id="5" name="Rectangle 4">
          <a:extLst>
            <a:ext uri="{FF2B5EF4-FFF2-40B4-BE49-F238E27FC236}">
              <a16:creationId xmlns:a16="http://schemas.microsoft.com/office/drawing/2014/main" id="{67DDFFC5-A68E-4AAD-8630-E0A2A1265F48}"/>
            </a:ext>
          </a:extLst>
        </xdr:cNvPr>
        <xdr:cNvSpPr/>
      </xdr:nvSpPr>
      <xdr:spPr>
        <a:xfrm>
          <a:off x="10372725" y="6867525"/>
          <a:ext cx="2880000" cy="900000"/>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tr-TR" sz="2000">
              <a:solidFill>
                <a:schemeClr val="lt1"/>
              </a:solidFill>
              <a:latin typeface="+mn-lt"/>
              <a:ea typeface="+mn-ea"/>
              <a:cs typeface="+mn-cs"/>
            </a:rPr>
            <a:t>Vehicle Control Unit</a:t>
          </a:r>
        </a:p>
      </xdr:txBody>
    </xdr:sp>
    <xdr:clientData/>
  </xdr:twoCellAnchor>
  <xdr:oneCellAnchor>
    <xdr:from>
      <xdr:col>11</xdr:col>
      <xdr:colOff>209550</xdr:colOff>
      <xdr:row>15</xdr:row>
      <xdr:rowOff>1085850</xdr:rowOff>
    </xdr:from>
    <xdr:ext cx="2038828" cy="280205"/>
    <xdr:sp macro="" textlink="">
      <xdr:nvSpPr>
        <xdr:cNvPr id="8" name="TextBox 7">
          <a:extLst>
            <a:ext uri="{FF2B5EF4-FFF2-40B4-BE49-F238E27FC236}">
              <a16:creationId xmlns:a16="http://schemas.microsoft.com/office/drawing/2014/main" id="{6FF2F2EC-6F92-8744-FB86-6E150739A1BA}"/>
            </a:ext>
          </a:extLst>
        </xdr:cNvPr>
        <xdr:cNvSpPr txBox="1"/>
      </xdr:nvSpPr>
      <xdr:spPr>
        <a:xfrm>
          <a:off x="11791950" y="6105525"/>
          <a:ext cx="203882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r-TR" sz="1200" b="1"/>
            <a:t>Torque/Speed</a:t>
          </a:r>
          <a:r>
            <a:rPr lang="tr-TR" sz="1200" b="1" baseline="0"/>
            <a:t> Request (CAN)</a:t>
          </a:r>
          <a:endParaRPr lang="tr-TR" sz="1200" b="1"/>
        </a:p>
      </xdr:txBody>
    </xdr:sp>
    <xdr:clientData/>
  </xdr:oneCellAnchor>
  <xdr:twoCellAnchor>
    <xdr:from>
      <xdr:col>11</xdr:col>
      <xdr:colOff>230325</xdr:colOff>
      <xdr:row>15</xdr:row>
      <xdr:rowOff>580800</xdr:rowOff>
    </xdr:from>
    <xdr:to>
      <xdr:col>11</xdr:col>
      <xdr:colOff>239850</xdr:colOff>
      <xdr:row>17</xdr:row>
      <xdr:rowOff>714375</xdr:rowOff>
    </xdr:to>
    <xdr:cxnSp macro="">
      <xdr:nvCxnSpPr>
        <xdr:cNvPr id="10" name="Straight Arrow Connector 9">
          <a:extLst>
            <a:ext uri="{FF2B5EF4-FFF2-40B4-BE49-F238E27FC236}">
              <a16:creationId xmlns:a16="http://schemas.microsoft.com/office/drawing/2014/main" id="{ABB30CB6-EF50-3231-F4DB-30BF6132AD5D}"/>
            </a:ext>
          </a:extLst>
        </xdr:cNvPr>
        <xdr:cNvCxnSpPr>
          <a:stCxn id="5" idx="0"/>
          <a:endCxn id="2" idx="2"/>
        </xdr:cNvCxnSpPr>
      </xdr:nvCxnSpPr>
      <xdr:spPr>
        <a:xfrm flipV="1">
          <a:off x="11812725" y="5600475"/>
          <a:ext cx="9525" cy="1267050"/>
        </a:xfrm>
        <a:prstGeom prst="straightConnector1">
          <a:avLst/>
        </a:prstGeom>
        <a:ln>
          <a:headEnd type="triangle"/>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11</xdr:col>
      <xdr:colOff>239850</xdr:colOff>
      <xdr:row>11</xdr:row>
      <xdr:rowOff>909525</xdr:rowOff>
    </xdr:from>
    <xdr:to>
      <xdr:col>11</xdr:col>
      <xdr:colOff>239850</xdr:colOff>
      <xdr:row>13</xdr:row>
      <xdr:rowOff>561975</xdr:rowOff>
    </xdr:to>
    <xdr:cxnSp macro="">
      <xdr:nvCxnSpPr>
        <xdr:cNvPr id="12" name="Straight Arrow Connector 11">
          <a:extLst>
            <a:ext uri="{FF2B5EF4-FFF2-40B4-BE49-F238E27FC236}">
              <a16:creationId xmlns:a16="http://schemas.microsoft.com/office/drawing/2014/main" id="{1344736F-CC84-C5F1-F6B0-E1504AF50C4F}"/>
            </a:ext>
          </a:extLst>
        </xdr:cNvPr>
        <xdr:cNvCxnSpPr>
          <a:stCxn id="4" idx="2"/>
          <a:endCxn id="2" idx="0"/>
        </xdr:cNvCxnSpPr>
      </xdr:nvCxnSpPr>
      <xdr:spPr>
        <a:xfrm>
          <a:off x="11822250" y="2690700"/>
          <a:ext cx="0" cy="1109775"/>
        </a:xfrm>
        <a:prstGeom prst="straightConnector1">
          <a:avLst/>
        </a:prstGeom>
        <a:ln>
          <a:headEnd type="triangle"/>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0</xdr:colOff>
      <xdr:row>11</xdr:row>
      <xdr:rowOff>914400</xdr:rowOff>
    </xdr:from>
    <xdr:to>
      <xdr:col>10</xdr:col>
      <xdr:colOff>0</xdr:colOff>
      <xdr:row>13</xdr:row>
      <xdr:rowOff>533400</xdr:rowOff>
    </xdr:to>
    <xdr:cxnSp macro="">
      <xdr:nvCxnSpPr>
        <xdr:cNvPr id="14" name="Straight Arrow Connector 13">
          <a:extLst>
            <a:ext uri="{FF2B5EF4-FFF2-40B4-BE49-F238E27FC236}">
              <a16:creationId xmlns:a16="http://schemas.microsoft.com/office/drawing/2014/main" id="{9BAF6E0E-AE90-8C3F-484D-662551DECF97}"/>
            </a:ext>
          </a:extLst>
        </xdr:cNvPr>
        <xdr:cNvCxnSpPr/>
      </xdr:nvCxnSpPr>
      <xdr:spPr>
        <a:xfrm>
          <a:off x="10972800" y="2695575"/>
          <a:ext cx="0" cy="1076325"/>
        </a:xfrm>
        <a:prstGeom prst="straightConnector1">
          <a:avLst/>
        </a:prstGeom>
        <a:ln>
          <a:solidFill>
            <a:srgbClr val="FF0000"/>
          </a:solidFill>
          <a:tailEnd type="triangle"/>
        </a:ln>
      </xdr:spPr>
      <xdr:style>
        <a:lnRef idx="3">
          <a:schemeClr val="accent2"/>
        </a:lnRef>
        <a:fillRef idx="0">
          <a:schemeClr val="accent2"/>
        </a:fillRef>
        <a:effectRef idx="2">
          <a:schemeClr val="accent2"/>
        </a:effectRef>
        <a:fontRef idx="minor">
          <a:schemeClr val="tx1"/>
        </a:fontRef>
      </xdr:style>
    </xdr:cxnSp>
    <xdr:clientData/>
  </xdr:twoCellAnchor>
  <xdr:oneCellAnchor>
    <xdr:from>
      <xdr:col>11</xdr:col>
      <xdr:colOff>228600</xdr:colOff>
      <xdr:row>12</xdr:row>
      <xdr:rowOff>342900</xdr:rowOff>
    </xdr:from>
    <xdr:ext cx="1841851" cy="280205"/>
    <xdr:sp macro="" textlink="">
      <xdr:nvSpPr>
        <xdr:cNvPr id="15" name="TextBox 14">
          <a:extLst>
            <a:ext uri="{FF2B5EF4-FFF2-40B4-BE49-F238E27FC236}">
              <a16:creationId xmlns:a16="http://schemas.microsoft.com/office/drawing/2014/main" id="{B0613482-D6D6-47A9-B6F9-8300CB6DED8A}"/>
            </a:ext>
          </a:extLst>
        </xdr:cNvPr>
        <xdr:cNvSpPr txBox="1"/>
      </xdr:nvSpPr>
      <xdr:spPr>
        <a:xfrm>
          <a:off x="11811000" y="3095625"/>
          <a:ext cx="184185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r-TR" sz="1200" b="1"/>
            <a:t>Power Management </a:t>
          </a:r>
          <a:r>
            <a:rPr lang="tr-TR" sz="1200" b="1" baseline="0"/>
            <a:t>(CAN)</a:t>
          </a:r>
          <a:endParaRPr lang="tr-TR" sz="1200" b="1"/>
        </a:p>
      </xdr:txBody>
    </xdr:sp>
    <xdr:clientData/>
  </xdr:oneCellAnchor>
  <xdr:oneCellAnchor>
    <xdr:from>
      <xdr:col>8</xdr:col>
      <xdr:colOff>209550</xdr:colOff>
      <xdr:row>12</xdr:row>
      <xdr:rowOff>323850</xdr:rowOff>
    </xdr:from>
    <xdr:ext cx="1003352" cy="280205"/>
    <xdr:sp macro="" textlink="">
      <xdr:nvSpPr>
        <xdr:cNvPr id="16" name="TextBox 15">
          <a:extLst>
            <a:ext uri="{FF2B5EF4-FFF2-40B4-BE49-F238E27FC236}">
              <a16:creationId xmlns:a16="http://schemas.microsoft.com/office/drawing/2014/main" id="{62BB2348-40C2-487D-A830-1B493F822022}"/>
            </a:ext>
          </a:extLst>
        </xdr:cNvPr>
        <xdr:cNvSpPr txBox="1"/>
      </xdr:nvSpPr>
      <xdr:spPr>
        <a:xfrm>
          <a:off x="9963150" y="3076575"/>
          <a:ext cx="1003352"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r-TR" sz="1200" b="1"/>
            <a:t>High-Voltage</a:t>
          </a:r>
        </a:p>
      </xdr:txBody>
    </xdr:sp>
    <xdr:clientData/>
  </xdr:oneCellAnchor>
  <xdr:twoCellAnchor>
    <xdr:from>
      <xdr:col>13</xdr:col>
      <xdr:colOff>460650</xdr:colOff>
      <xdr:row>14</xdr:row>
      <xdr:rowOff>314325</xdr:rowOff>
    </xdr:from>
    <xdr:to>
      <xdr:col>16</xdr:col>
      <xdr:colOff>0</xdr:colOff>
      <xdr:row>14</xdr:row>
      <xdr:rowOff>328500</xdr:rowOff>
    </xdr:to>
    <xdr:cxnSp macro="">
      <xdr:nvCxnSpPr>
        <xdr:cNvPr id="18" name="Straight Arrow Connector 17">
          <a:extLst>
            <a:ext uri="{FF2B5EF4-FFF2-40B4-BE49-F238E27FC236}">
              <a16:creationId xmlns:a16="http://schemas.microsoft.com/office/drawing/2014/main" id="{FECCE59D-833A-D008-6D9C-1E6E3FF07C55}"/>
            </a:ext>
          </a:extLst>
        </xdr:cNvPr>
        <xdr:cNvCxnSpPr>
          <a:stCxn id="2" idx="3"/>
          <a:endCxn id="3" idx="1"/>
        </xdr:cNvCxnSpPr>
      </xdr:nvCxnSpPr>
      <xdr:spPr>
        <a:xfrm flipV="1">
          <a:off x="13262250" y="4686300"/>
          <a:ext cx="1368150" cy="14175"/>
        </a:xfrm>
        <a:prstGeom prst="straightConnector1">
          <a:avLst/>
        </a:prstGeom>
        <a:ln>
          <a:solidFill>
            <a:srgbClr val="FF0000"/>
          </a:solidFill>
          <a:prstDash val="sysDash"/>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13</xdr:col>
      <xdr:colOff>495300</xdr:colOff>
      <xdr:row>15</xdr:row>
      <xdr:rowOff>47625</xdr:rowOff>
    </xdr:from>
    <xdr:to>
      <xdr:col>17</xdr:col>
      <xdr:colOff>338138</xdr:colOff>
      <xdr:row>15</xdr:row>
      <xdr:rowOff>200025</xdr:rowOff>
    </xdr:to>
    <xdr:cxnSp macro="">
      <xdr:nvCxnSpPr>
        <xdr:cNvPr id="20" name="Connector: Elbow 19">
          <a:extLst>
            <a:ext uri="{FF2B5EF4-FFF2-40B4-BE49-F238E27FC236}">
              <a16:creationId xmlns:a16="http://schemas.microsoft.com/office/drawing/2014/main" id="{8B71C5FD-0E72-7744-946B-F0CF362B55CB}"/>
            </a:ext>
          </a:extLst>
        </xdr:cNvPr>
        <xdr:cNvCxnSpPr>
          <a:stCxn id="3" idx="2"/>
        </xdr:cNvCxnSpPr>
      </xdr:nvCxnSpPr>
      <xdr:spPr>
        <a:xfrm rot="5400000">
          <a:off x="14361319" y="4002881"/>
          <a:ext cx="152400" cy="2281238"/>
        </a:xfrm>
        <a:prstGeom prst="bent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13</xdr:col>
      <xdr:colOff>485775</xdr:colOff>
      <xdr:row>14</xdr:row>
      <xdr:rowOff>19050</xdr:rowOff>
    </xdr:from>
    <xdr:ext cx="893321" cy="280205"/>
    <xdr:sp macro="" textlink="">
      <xdr:nvSpPr>
        <xdr:cNvPr id="21" name="TextBox 20">
          <a:extLst>
            <a:ext uri="{FF2B5EF4-FFF2-40B4-BE49-F238E27FC236}">
              <a16:creationId xmlns:a16="http://schemas.microsoft.com/office/drawing/2014/main" id="{ABD118DD-F008-4B65-81B2-790BFEF6D23A}"/>
            </a:ext>
          </a:extLst>
        </xdr:cNvPr>
        <xdr:cNvSpPr txBox="1"/>
      </xdr:nvSpPr>
      <xdr:spPr>
        <a:xfrm>
          <a:off x="13287375" y="4391025"/>
          <a:ext cx="89332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r-TR" sz="1200" b="1"/>
            <a:t>3 Phase HV</a:t>
          </a:r>
        </a:p>
      </xdr:txBody>
    </xdr:sp>
    <xdr:clientData/>
  </xdr:oneCellAnchor>
  <xdr:oneCellAnchor>
    <xdr:from>
      <xdr:col>14</xdr:col>
      <xdr:colOff>504825</xdr:colOff>
      <xdr:row>15</xdr:row>
      <xdr:rowOff>190500</xdr:rowOff>
    </xdr:from>
    <xdr:ext cx="2794035" cy="280205"/>
    <xdr:sp macro="" textlink="">
      <xdr:nvSpPr>
        <xdr:cNvPr id="22" name="TextBox 21">
          <a:extLst>
            <a:ext uri="{FF2B5EF4-FFF2-40B4-BE49-F238E27FC236}">
              <a16:creationId xmlns:a16="http://schemas.microsoft.com/office/drawing/2014/main" id="{91CBDF13-DF05-4229-83FA-FD2620AC209B}"/>
            </a:ext>
          </a:extLst>
        </xdr:cNvPr>
        <xdr:cNvSpPr txBox="1"/>
      </xdr:nvSpPr>
      <xdr:spPr>
        <a:xfrm>
          <a:off x="13916025" y="5210175"/>
          <a:ext cx="279403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r-TR" sz="1200" b="1"/>
            <a:t>Temperature,</a:t>
          </a:r>
          <a:r>
            <a:rPr lang="tr-TR" sz="1200" b="1" baseline="0"/>
            <a:t> Position, Torque feedbacks</a:t>
          </a:r>
          <a:endParaRPr lang="tr-TR" sz="1200" b="1"/>
        </a:p>
      </xdr:txBody>
    </xdr:sp>
    <xdr:clientData/>
  </xdr:oneCellAnchor>
  <xdr:twoCellAnchor editAs="oneCell">
    <xdr:from>
      <xdr:col>8</xdr:col>
      <xdr:colOff>609600</xdr:colOff>
      <xdr:row>18</xdr:row>
      <xdr:rowOff>48986</xdr:rowOff>
    </xdr:from>
    <xdr:to>
      <xdr:col>27</xdr:col>
      <xdr:colOff>35379</xdr:colOff>
      <xdr:row>48</xdr:row>
      <xdr:rowOff>132753</xdr:rowOff>
    </xdr:to>
    <xdr:pic>
      <xdr:nvPicPr>
        <xdr:cNvPr id="23" name="Picture 22" descr="Fault Diagnosis Methods and Fault Tolerant Control Strategies for the  Electric Vehicle Powertrains">
          <a:extLst>
            <a:ext uri="{FF2B5EF4-FFF2-40B4-BE49-F238E27FC236}">
              <a16:creationId xmlns:a16="http://schemas.microsoft.com/office/drawing/2014/main" id="{69973FEA-F325-95F7-D861-47220464E6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3136" y="10009415"/>
          <a:ext cx="11059886" cy="5907624"/>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xdr:from>
      <xdr:col>8</xdr:col>
      <xdr:colOff>27214</xdr:colOff>
      <xdr:row>13</xdr:row>
      <xdr:rowOff>312964</xdr:rowOff>
    </xdr:from>
    <xdr:to>
      <xdr:col>20</xdr:col>
      <xdr:colOff>40821</xdr:colOff>
      <xdr:row>15</xdr:row>
      <xdr:rowOff>925286</xdr:rowOff>
    </xdr:to>
    <xdr:sp macro="" textlink="">
      <xdr:nvSpPr>
        <xdr:cNvPr id="26" name="Rectangle 25">
          <a:extLst>
            <a:ext uri="{FF2B5EF4-FFF2-40B4-BE49-F238E27FC236}">
              <a16:creationId xmlns:a16="http://schemas.microsoft.com/office/drawing/2014/main" id="{F07B96BA-0B1E-6790-D6EF-E6A88C543CA0}"/>
            </a:ext>
          </a:extLst>
        </xdr:cNvPr>
        <xdr:cNvSpPr/>
      </xdr:nvSpPr>
      <xdr:spPr>
        <a:xfrm>
          <a:off x="9810750" y="3565071"/>
          <a:ext cx="7361464" cy="2394858"/>
        </a:xfrm>
        <a:prstGeom prst="rect">
          <a:avLst/>
        </a:prstGeom>
        <a:noFill/>
        <a:ln w="38100">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oneCellAnchor>
    <xdr:from>
      <xdr:col>18</xdr:col>
      <xdr:colOff>326572</xdr:colOff>
      <xdr:row>13</xdr:row>
      <xdr:rowOff>13607</xdr:rowOff>
    </xdr:from>
    <xdr:ext cx="1033809" cy="264560"/>
    <xdr:sp macro="" textlink="">
      <xdr:nvSpPr>
        <xdr:cNvPr id="27" name="TextBox 26">
          <a:extLst>
            <a:ext uri="{FF2B5EF4-FFF2-40B4-BE49-F238E27FC236}">
              <a16:creationId xmlns:a16="http://schemas.microsoft.com/office/drawing/2014/main" id="{E1963D51-9061-E71B-BC66-D566A3AF1093}"/>
            </a:ext>
          </a:extLst>
        </xdr:cNvPr>
        <xdr:cNvSpPr txBox="1"/>
      </xdr:nvSpPr>
      <xdr:spPr>
        <a:xfrm>
          <a:off x="16233322" y="3265714"/>
          <a:ext cx="103380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r-TR" sz="1100" b="1"/>
            <a:t>Item Boundary</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4</xdr:col>
      <xdr:colOff>38100</xdr:colOff>
      <xdr:row>0</xdr:row>
      <xdr:rowOff>114300</xdr:rowOff>
    </xdr:from>
    <xdr:to>
      <xdr:col>7</xdr:col>
      <xdr:colOff>1343025</xdr:colOff>
      <xdr:row>6</xdr:row>
      <xdr:rowOff>38100</xdr:rowOff>
    </xdr:to>
    <xdr:sp macro="" textlink="">
      <xdr:nvSpPr>
        <xdr:cNvPr id="2" name="Rectangle: Rounded Corners 1">
          <a:extLst>
            <a:ext uri="{FF2B5EF4-FFF2-40B4-BE49-F238E27FC236}">
              <a16:creationId xmlns:a16="http://schemas.microsoft.com/office/drawing/2014/main" id="{AFF422A4-E953-5F70-F45A-8D41BF1439C3}"/>
            </a:ext>
          </a:extLst>
        </xdr:cNvPr>
        <xdr:cNvSpPr/>
      </xdr:nvSpPr>
      <xdr:spPr>
        <a:xfrm>
          <a:off x="5915025" y="114300"/>
          <a:ext cx="5781675" cy="8953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tr-TR" sz="1100"/>
            <a:t>Students shall</a:t>
          </a:r>
          <a:r>
            <a:rPr lang="tr-TR" sz="1100" baseline="0"/>
            <a:t> complete the HARA for E column to K column plus N.</a:t>
          </a:r>
        </a:p>
        <a:p>
          <a:pPr algn="l"/>
          <a:r>
            <a:rPr lang="tr-TR" sz="1100" baseline="0"/>
            <a:t>HARA should be copy and paste from homework 1</a:t>
          </a:r>
          <a:endParaRPr lang="tr-TR"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28575</xdr:colOff>
      <xdr:row>0</xdr:row>
      <xdr:rowOff>114300</xdr:rowOff>
    </xdr:from>
    <xdr:to>
      <xdr:col>7</xdr:col>
      <xdr:colOff>666750</xdr:colOff>
      <xdr:row>6</xdr:row>
      <xdr:rowOff>38100</xdr:rowOff>
    </xdr:to>
    <xdr:sp macro="" textlink="">
      <xdr:nvSpPr>
        <xdr:cNvPr id="3" name="Rectangle: Rounded Corners 2">
          <a:extLst>
            <a:ext uri="{FF2B5EF4-FFF2-40B4-BE49-F238E27FC236}">
              <a16:creationId xmlns:a16="http://schemas.microsoft.com/office/drawing/2014/main" id="{D2155430-196E-459F-ABEE-8782E3ABFADF}"/>
            </a:ext>
          </a:extLst>
        </xdr:cNvPr>
        <xdr:cNvSpPr/>
      </xdr:nvSpPr>
      <xdr:spPr>
        <a:xfrm>
          <a:off x="1857375" y="114300"/>
          <a:ext cx="5781675" cy="8953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tr-TR" sz="1100"/>
            <a:t>Students shall</a:t>
          </a:r>
          <a:r>
            <a:rPr lang="tr-TR" sz="1100" baseline="0"/>
            <a:t> create their own FSR's based on the defined safety goals in HARA process</a:t>
          </a:r>
        </a:p>
        <a:p>
          <a:pPr algn="l"/>
          <a:r>
            <a:rPr lang="tr-TR" sz="1100" baseline="0"/>
            <a:t>Feel free to extend the list to add new requirement or safety goal</a:t>
          </a:r>
        </a:p>
        <a:p>
          <a:pPr algn="l"/>
          <a:r>
            <a:rPr lang="tr-TR" sz="1100" baseline="0"/>
            <a:t>If required, students can extend/modify/update/upgrade the defined system architecture in item definition</a:t>
          </a:r>
        </a:p>
        <a:p>
          <a:pPr algn="l"/>
          <a:r>
            <a:rPr lang="tr-TR" sz="1100" baseline="0"/>
            <a:t>The expectation is to fill at least 5 functional safety requirements per a safety goal</a:t>
          </a:r>
        </a:p>
      </xdr:txBody>
    </xdr:sp>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CEA8E-A83F-43A4-9FEA-B8DD312BEB71}">
  <dimension ref="D11:E19"/>
  <sheetViews>
    <sheetView topLeftCell="A15" zoomScale="70" zoomScaleNormal="70" workbookViewId="0">
      <selection activeCell="E12" sqref="E12:E14"/>
    </sheetView>
  </sheetViews>
  <sheetFormatPr defaultRowHeight="13.2" x14ac:dyDescent="0.25"/>
  <cols>
    <col min="4" max="4" width="30.6640625" customWidth="1"/>
    <col min="5" max="5" width="60.6640625" style="1" customWidth="1"/>
  </cols>
  <sheetData>
    <row r="11" spans="4:5" ht="13.8" x14ac:dyDescent="0.25">
      <c r="D11" s="4" t="s">
        <v>8</v>
      </c>
      <c r="E11" s="5" t="s">
        <v>16</v>
      </c>
    </row>
    <row r="12" spans="4:5" ht="82.8" x14ac:dyDescent="0.25">
      <c r="D12" s="4" t="s">
        <v>9</v>
      </c>
      <c r="E12" s="5" t="s">
        <v>17</v>
      </c>
    </row>
    <row r="13" spans="4:5" ht="41.4" x14ac:dyDescent="0.25">
      <c r="D13" s="4" t="s">
        <v>10</v>
      </c>
      <c r="E13" s="5" t="s">
        <v>18</v>
      </c>
    </row>
    <row r="14" spans="4:5" ht="110.4" x14ac:dyDescent="0.25">
      <c r="D14" s="4" t="s">
        <v>12</v>
      </c>
      <c r="E14" s="6" t="s">
        <v>19</v>
      </c>
    </row>
    <row r="15" spans="4:5" ht="69" x14ac:dyDescent="0.25">
      <c r="D15" s="4" t="s">
        <v>11</v>
      </c>
      <c r="E15" s="6" t="s">
        <v>20</v>
      </c>
    </row>
    <row r="16" spans="4:5" ht="110.4" x14ac:dyDescent="0.25">
      <c r="D16" s="4" t="s">
        <v>13</v>
      </c>
      <c r="E16" s="6" t="s">
        <v>21</v>
      </c>
    </row>
    <row r="17" spans="4:5" ht="13.8" x14ac:dyDescent="0.25">
      <c r="D17" s="4" t="s">
        <v>26</v>
      </c>
      <c r="E17" s="6" t="s">
        <v>25</v>
      </c>
    </row>
    <row r="18" spans="4:5" ht="151.80000000000001" x14ac:dyDescent="0.25">
      <c r="D18" s="4" t="s">
        <v>14</v>
      </c>
      <c r="E18" s="5" t="s">
        <v>22</v>
      </c>
    </row>
    <row r="19" spans="4:5" ht="82.8" x14ac:dyDescent="0.25">
      <c r="D19" s="4" t="s">
        <v>15</v>
      </c>
      <c r="E19" s="6" t="s">
        <v>23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835B2-B9F5-4B2D-A1E3-D1E1B388468C}">
  <dimension ref="C8:N58"/>
  <sheetViews>
    <sheetView tabSelected="1" zoomScale="53" workbookViewId="0">
      <pane ySplit="8" topLeftCell="A29" activePane="bottomLeft" state="frozen"/>
      <selection pane="bottomLeft" activeCell="Q22" sqref="Q22"/>
    </sheetView>
  </sheetViews>
  <sheetFormatPr defaultRowHeight="13.2" x14ac:dyDescent="0.25"/>
  <cols>
    <col min="4" max="4" width="60.6640625" customWidth="1"/>
    <col min="5" max="5" width="20.6640625" customWidth="1"/>
    <col min="6" max="6" width="15.6640625" customWidth="1"/>
    <col min="7" max="7" width="30.6640625" customWidth="1"/>
    <col min="8" max="8" width="20.6640625" customWidth="1"/>
    <col min="9" max="11" width="15.6640625" customWidth="1"/>
    <col min="12" max="12" width="5.6640625" customWidth="1"/>
    <col min="13" max="13" width="15.6640625" customWidth="1"/>
    <col min="14" max="14" width="40.6640625" customWidth="1"/>
    <col min="15" max="15" width="15.6640625" customWidth="1"/>
  </cols>
  <sheetData>
    <row r="8" spans="3:14" x14ac:dyDescent="0.25">
      <c r="C8" s="3" t="s">
        <v>29</v>
      </c>
      <c r="D8" s="3" t="s">
        <v>0</v>
      </c>
      <c r="E8" s="3" t="s">
        <v>1</v>
      </c>
      <c r="F8" s="3" t="s">
        <v>46</v>
      </c>
      <c r="G8" s="3" t="s">
        <v>47</v>
      </c>
      <c r="H8" s="3" t="s">
        <v>2</v>
      </c>
      <c r="I8" s="3" t="s">
        <v>5</v>
      </c>
      <c r="J8" s="3" t="s">
        <v>6</v>
      </c>
      <c r="K8" s="3" t="s">
        <v>7</v>
      </c>
      <c r="L8" s="3" t="s">
        <v>31</v>
      </c>
      <c r="M8" s="3" t="s">
        <v>3</v>
      </c>
      <c r="N8" s="3" t="s">
        <v>4</v>
      </c>
    </row>
    <row r="9" spans="3:14" x14ac:dyDescent="0.25">
      <c r="C9">
        <v>1</v>
      </c>
      <c r="D9" t="s">
        <v>24</v>
      </c>
      <c r="E9" s="9" t="s">
        <v>27</v>
      </c>
      <c r="F9" s="8" t="s">
        <v>34</v>
      </c>
      <c r="G9" s="8" t="s">
        <v>48</v>
      </c>
      <c r="H9" s="8" t="s">
        <v>51</v>
      </c>
      <c r="I9" s="8">
        <v>3</v>
      </c>
      <c r="J9" s="8">
        <v>4</v>
      </c>
      <c r="K9" s="8">
        <v>2</v>
      </c>
      <c r="L9">
        <f>SUM(I9:K9)</f>
        <v>9</v>
      </c>
      <c r="M9" t="str">
        <f>IF(L9=7,"ASIL A",IF(L9=8,"ASIL B",IF(L9=9,"ASIL C",IF(L9=10,"ASIL D","QM"))))</f>
        <v>ASIL C</v>
      </c>
      <c r="N9" s="8" t="s">
        <v>30</v>
      </c>
    </row>
    <row r="10" spans="3:14" x14ac:dyDescent="0.25">
      <c r="C10">
        <v>2</v>
      </c>
      <c r="D10" t="s">
        <v>24</v>
      </c>
      <c r="E10" s="2" t="s">
        <v>27</v>
      </c>
      <c r="F10" t="s">
        <v>33</v>
      </c>
      <c r="G10" t="s">
        <v>49</v>
      </c>
      <c r="H10" t="s">
        <v>28</v>
      </c>
      <c r="I10">
        <v>3</v>
      </c>
      <c r="J10">
        <v>4</v>
      </c>
      <c r="K10">
        <v>1</v>
      </c>
      <c r="L10">
        <f t="shared" ref="L10:L58" si="0">SUM(I10:K10)</f>
        <v>8</v>
      </c>
      <c r="M10" t="str">
        <f t="shared" ref="M10:M37" si="1">IF(L10=7,"ASIL A",IF(L10=8,"ASIL B",IF(L10=9,"ASIL C",IF(L10=10,"ASIL D","QM"))))</f>
        <v>ASIL B</v>
      </c>
      <c r="N10" t="s">
        <v>55</v>
      </c>
    </row>
    <row r="11" spans="3:14" x14ac:dyDescent="0.25">
      <c r="C11">
        <v>3</v>
      </c>
      <c r="D11" t="s">
        <v>24</v>
      </c>
      <c r="E11" s="2" t="s">
        <v>27</v>
      </c>
      <c r="F11" t="s">
        <v>37</v>
      </c>
      <c r="G11" t="s">
        <v>50</v>
      </c>
      <c r="H11" t="s">
        <v>28</v>
      </c>
      <c r="I11">
        <v>2</v>
      </c>
      <c r="J11">
        <v>4</v>
      </c>
      <c r="K11">
        <v>1</v>
      </c>
      <c r="L11">
        <f t="shared" si="0"/>
        <v>7</v>
      </c>
      <c r="M11" t="str">
        <f t="shared" si="1"/>
        <v>ASIL A</v>
      </c>
      <c r="N11" t="s">
        <v>56</v>
      </c>
    </row>
    <row r="12" spans="3:14" x14ac:dyDescent="0.25">
      <c r="C12">
        <v>4</v>
      </c>
      <c r="D12" t="s">
        <v>24</v>
      </c>
      <c r="E12" s="2" t="s">
        <v>27</v>
      </c>
      <c r="F12" t="s">
        <v>41</v>
      </c>
      <c r="G12" t="s">
        <v>52</v>
      </c>
      <c r="H12" t="s">
        <v>53</v>
      </c>
      <c r="I12">
        <v>2</v>
      </c>
      <c r="J12">
        <v>4</v>
      </c>
      <c r="K12">
        <v>1</v>
      </c>
      <c r="L12">
        <f t="shared" si="0"/>
        <v>7</v>
      </c>
      <c r="M12" t="str">
        <f t="shared" si="1"/>
        <v>ASIL A</v>
      </c>
      <c r="N12" t="s">
        <v>57</v>
      </c>
    </row>
    <row r="13" spans="3:14" x14ac:dyDescent="0.25">
      <c r="C13">
        <v>5</v>
      </c>
      <c r="D13" t="s">
        <v>24</v>
      </c>
      <c r="E13" t="s">
        <v>54</v>
      </c>
      <c r="F13" t="s">
        <v>34</v>
      </c>
      <c r="G13" t="s">
        <v>49</v>
      </c>
      <c r="H13" t="s">
        <v>28</v>
      </c>
      <c r="I13">
        <v>3</v>
      </c>
      <c r="J13">
        <v>4</v>
      </c>
      <c r="K13">
        <v>1</v>
      </c>
      <c r="L13">
        <f t="shared" si="0"/>
        <v>8</v>
      </c>
      <c r="M13" t="str">
        <f t="shared" si="1"/>
        <v>ASIL B</v>
      </c>
      <c r="N13" t="s">
        <v>81</v>
      </c>
    </row>
    <row r="14" spans="3:14" x14ac:dyDescent="0.25">
      <c r="C14">
        <v>6</v>
      </c>
      <c r="D14" t="s">
        <v>58</v>
      </c>
      <c r="E14" s="8" t="s">
        <v>27</v>
      </c>
      <c r="F14" s="8" t="s">
        <v>34</v>
      </c>
      <c r="G14" s="8" t="s">
        <v>48</v>
      </c>
      <c r="H14" s="8" t="s">
        <v>51</v>
      </c>
      <c r="I14" s="8">
        <v>2</v>
      </c>
      <c r="J14" s="8">
        <v>3</v>
      </c>
      <c r="K14" s="8">
        <v>2</v>
      </c>
      <c r="L14">
        <f t="shared" si="0"/>
        <v>7</v>
      </c>
      <c r="M14" t="str">
        <f t="shared" si="1"/>
        <v>ASIL A</v>
      </c>
      <c r="N14" s="8" t="s">
        <v>30</v>
      </c>
    </row>
    <row r="15" spans="3:14" x14ac:dyDescent="0.25">
      <c r="C15">
        <v>7</v>
      </c>
      <c r="D15" t="s">
        <v>58</v>
      </c>
      <c r="E15" t="s">
        <v>27</v>
      </c>
      <c r="F15" t="s">
        <v>37</v>
      </c>
      <c r="G15" t="s">
        <v>50</v>
      </c>
      <c r="H15" t="s">
        <v>28</v>
      </c>
      <c r="I15">
        <v>2</v>
      </c>
      <c r="J15">
        <v>3</v>
      </c>
      <c r="K15">
        <v>2</v>
      </c>
      <c r="L15">
        <f t="shared" si="0"/>
        <v>7</v>
      </c>
      <c r="M15" t="str">
        <f t="shared" si="1"/>
        <v>ASIL A</v>
      </c>
      <c r="N15" t="s">
        <v>56</v>
      </c>
    </row>
    <row r="16" spans="3:14" x14ac:dyDescent="0.25">
      <c r="C16">
        <v>8</v>
      </c>
      <c r="D16" t="s">
        <v>58</v>
      </c>
      <c r="E16" t="s">
        <v>27</v>
      </c>
      <c r="F16" t="s">
        <v>36</v>
      </c>
      <c r="G16" t="s">
        <v>73</v>
      </c>
      <c r="H16" t="s">
        <v>51</v>
      </c>
      <c r="I16">
        <v>3</v>
      </c>
      <c r="J16">
        <v>4</v>
      </c>
      <c r="K16">
        <v>2</v>
      </c>
      <c r="L16">
        <f t="shared" si="0"/>
        <v>9</v>
      </c>
      <c r="M16" t="str">
        <f t="shared" si="1"/>
        <v>ASIL C</v>
      </c>
      <c r="N16" t="s">
        <v>82</v>
      </c>
    </row>
    <row r="17" spans="3:14" x14ac:dyDescent="0.25">
      <c r="C17">
        <v>9</v>
      </c>
      <c r="D17" t="s">
        <v>58</v>
      </c>
      <c r="E17" t="s">
        <v>54</v>
      </c>
      <c r="F17" t="s">
        <v>37</v>
      </c>
      <c r="G17" t="s">
        <v>74</v>
      </c>
      <c r="H17" t="s">
        <v>51</v>
      </c>
      <c r="I17">
        <v>2</v>
      </c>
      <c r="J17">
        <v>4</v>
      </c>
      <c r="K17">
        <v>2</v>
      </c>
      <c r="L17">
        <f t="shared" si="0"/>
        <v>8</v>
      </c>
      <c r="M17" t="str">
        <f t="shared" si="1"/>
        <v>ASIL B</v>
      </c>
      <c r="N17" t="s">
        <v>83</v>
      </c>
    </row>
    <row r="18" spans="3:14" x14ac:dyDescent="0.25">
      <c r="C18">
        <v>10</v>
      </c>
      <c r="D18" t="s">
        <v>58</v>
      </c>
      <c r="E18" t="s">
        <v>54</v>
      </c>
      <c r="F18" t="s">
        <v>36</v>
      </c>
      <c r="G18" t="s">
        <v>75</v>
      </c>
      <c r="H18" t="s">
        <v>28</v>
      </c>
      <c r="I18">
        <v>1</v>
      </c>
      <c r="J18">
        <v>4</v>
      </c>
      <c r="K18">
        <v>2</v>
      </c>
      <c r="L18">
        <f t="shared" si="0"/>
        <v>7</v>
      </c>
      <c r="M18" t="str">
        <f t="shared" si="1"/>
        <v>ASIL A</v>
      </c>
      <c r="N18" t="s">
        <v>84</v>
      </c>
    </row>
    <row r="19" spans="3:14" x14ac:dyDescent="0.25">
      <c r="C19">
        <v>11</v>
      </c>
      <c r="D19" t="s">
        <v>59</v>
      </c>
      <c r="E19" s="8" t="s">
        <v>27</v>
      </c>
      <c r="F19" s="8" t="s">
        <v>33</v>
      </c>
      <c r="G19" s="8" t="s">
        <v>49</v>
      </c>
      <c r="H19" s="8" t="s">
        <v>28</v>
      </c>
      <c r="I19" s="8">
        <v>2</v>
      </c>
      <c r="J19" s="8">
        <v>2</v>
      </c>
      <c r="K19" s="8">
        <v>1</v>
      </c>
      <c r="L19">
        <f t="shared" si="0"/>
        <v>5</v>
      </c>
      <c r="M19" t="str">
        <f t="shared" si="1"/>
        <v>QM</v>
      </c>
      <c r="N19" s="8" t="s">
        <v>85</v>
      </c>
    </row>
    <row r="20" spans="3:14" x14ac:dyDescent="0.25">
      <c r="C20">
        <v>12</v>
      </c>
      <c r="D20" t="s">
        <v>59</v>
      </c>
      <c r="E20" t="s">
        <v>27</v>
      </c>
      <c r="F20" t="s">
        <v>34</v>
      </c>
      <c r="G20" t="s">
        <v>76</v>
      </c>
      <c r="H20" t="s">
        <v>51</v>
      </c>
      <c r="I20">
        <v>2</v>
      </c>
      <c r="J20">
        <v>3</v>
      </c>
      <c r="K20">
        <v>2</v>
      </c>
      <c r="L20">
        <f t="shared" si="0"/>
        <v>7</v>
      </c>
      <c r="M20" t="str">
        <f t="shared" si="1"/>
        <v>ASIL A</v>
      </c>
      <c r="N20" t="s">
        <v>30</v>
      </c>
    </row>
    <row r="21" spans="3:14" x14ac:dyDescent="0.25">
      <c r="C21">
        <v>13</v>
      </c>
      <c r="D21" t="s">
        <v>59</v>
      </c>
      <c r="E21" t="s">
        <v>27</v>
      </c>
      <c r="F21" t="s">
        <v>42</v>
      </c>
      <c r="G21" t="s">
        <v>50</v>
      </c>
      <c r="H21" t="s">
        <v>28</v>
      </c>
      <c r="I21">
        <v>2</v>
      </c>
      <c r="J21">
        <v>3</v>
      </c>
      <c r="K21">
        <v>2</v>
      </c>
      <c r="L21">
        <f t="shared" si="0"/>
        <v>7</v>
      </c>
      <c r="M21" t="str">
        <f t="shared" si="1"/>
        <v>ASIL A</v>
      </c>
      <c r="N21" t="s">
        <v>86</v>
      </c>
    </row>
    <row r="22" spans="3:14" x14ac:dyDescent="0.25">
      <c r="C22">
        <v>14</v>
      </c>
      <c r="D22" t="s">
        <v>59</v>
      </c>
      <c r="E22" t="s">
        <v>54</v>
      </c>
      <c r="F22" t="s">
        <v>32</v>
      </c>
      <c r="G22" t="s">
        <v>77</v>
      </c>
      <c r="H22" t="s">
        <v>51</v>
      </c>
      <c r="I22">
        <v>3</v>
      </c>
      <c r="J22">
        <v>4</v>
      </c>
      <c r="K22">
        <v>2</v>
      </c>
      <c r="L22">
        <f t="shared" si="0"/>
        <v>9</v>
      </c>
      <c r="M22" t="str">
        <f t="shared" si="1"/>
        <v>ASIL C</v>
      </c>
      <c r="N22" t="s">
        <v>87</v>
      </c>
    </row>
    <row r="23" spans="3:14" x14ac:dyDescent="0.25">
      <c r="C23">
        <v>15</v>
      </c>
      <c r="D23" t="s">
        <v>59</v>
      </c>
      <c r="E23" t="s">
        <v>54</v>
      </c>
      <c r="F23" t="s">
        <v>40</v>
      </c>
      <c r="G23" t="s">
        <v>48</v>
      </c>
      <c r="H23" t="s">
        <v>51</v>
      </c>
      <c r="I23">
        <v>3</v>
      </c>
      <c r="J23">
        <v>4</v>
      </c>
      <c r="K23">
        <v>3</v>
      </c>
      <c r="L23">
        <f t="shared" si="0"/>
        <v>10</v>
      </c>
      <c r="M23" t="str">
        <f t="shared" si="1"/>
        <v>ASIL D</v>
      </c>
      <c r="N23" t="s">
        <v>88</v>
      </c>
    </row>
    <row r="24" spans="3:14" x14ac:dyDescent="0.25">
      <c r="C24">
        <v>16</v>
      </c>
      <c r="D24" t="s">
        <v>60</v>
      </c>
      <c r="E24" s="8" t="s">
        <v>27</v>
      </c>
      <c r="F24" s="8" t="s">
        <v>34</v>
      </c>
      <c r="G24" s="8" t="s">
        <v>48</v>
      </c>
      <c r="H24" s="8" t="s">
        <v>51</v>
      </c>
      <c r="I24" s="8">
        <v>2</v>
      </c>
      <c r="J24" s="8">
        <v>3</v>
      </c>
      <c r="K24" s="8">
        <v>1</v>
      </c>
      <c r="L24">
        <f t="shared" si="0"/>
        <v>6</v>
      </c>
      <c r="M24" t="str">
        <f t="shared" si="1"/>
        <v>QM</v>
      </c>
      <c r="N24" s="8" t="s">
        <v>85</v>
      </c>
    </row>
    <row r="25" spans="3:14" x14ac:dyDescent="0.25">
      <c r="C25">
        <v>17</v>
      </c>
      <c r="D25" t="s">
        <v>60</v>
      </c>
      <c r="E25" t="s">
        <v>27</v>
      </c>
      <c r="F25" t="s">
        <v>36</v>
      </c>
      <c r="G25" t="s">
        <v>73</v>
      </c>
      <c r="H25" t="s">
        <v>51</v>
      </c>
      <c r="I25">
        <v>2</v>
      </c>
      <c r="J25">
        <v>3</v>
      </c>
      <c r="K25">
        <v>2</v>
      </c>
      <c r="L25">
        <f t="shared" si="0"/>
        <v>7</v>
      </c>
      <c r="M25" t="str">
        <f t="shared" si="1"/>
        <v>ASIL A</v>
      </c>
      <c r="N25" t="s">
        <v>82</v>
      </c>
    </row>
    <row r="26" spans="3:14" x14ac:dyDescent="0.25">
      <c r="C26">
        <v>18</v>
      </c>
      <c r="D26" t="s">
        <v>60</v>
      </c>
      <c r="E26" t="s">
        <v>54</v>
      </c>
      <c r="F26" t="s">
        <v>35</v>
      </c>
      <c r="G26" t="s">
        <v>78</v>
      </c>
      <c r="H26" t="s">
        <v>51</v>
      </c>
      <c r="I26">
        <v>3</v>
      </c>
      <c r="J26">
        <v>3</v>
      </c>
      <c r="K26">
        <v>3</v>
      </c>
      <c r="L26">
        <f t="shared" si="0"/>
        <v>9</v>
      </c>
      <c r="M26" t="str">
        <f t="shared" si="1"/>
        <v>ASIL C</v>
      </c>
      <c r="N26" t="s">
        <v>89</v>
      </c>
    </row>
    <row r="27" spans="3:14" x14ac:dyDescent="0.25">
      <c r="C27">
        <v>19</v>
      </c>
      <c r="D27" t="s">
        <v>60</v>
      </c>
      <c r="E27" t="s">
        <v>54</v>
      </c>
      <c r="F27" t="s">
        <v>32</v>
      </c>
      <c r="G27" t="s">
        <v>77</v>
      </c>
      <c r="H27" t="s">
        <v>51</v>
      </c>
      <c r="I27">
        <v>3</v>
      </c>
      <c r="J27">
        <v>3</v>
      </c>
      <c r="K27">
        <v>3</v>
      </c>
      <c r="L27">
        <f t="shared" si="0"/>
        <v>9</v>
      </c>
      <c r="M27" t="str">
        <f t="shared" si="1"/>
        <v>ASIL C</v>
      </c>
      <c r="N27" t="s">
        <v>87</v>
      </c>
    </row>
    <row r="28" spans="3:14" x14ac:dyDescent="0.25">
      <c r="C28">
        <v>20</v>
      </c>
      <c r="D28" t="s">
        <v>60</v>
      </c>
      <c r="E28" t="s">
        <v>54</v>
      </c>
      <c r="F28" t="s">
        <v>37</v>
      </c>
      <c r="G28" t="s">
        <v>74</v>
      </c>
      <c r="H28" t="s">
        <v>51</v>
      </c>
      <c r="I28">
        <v>2</v>
      </c>
      <c r="J28">
        <v>2</v>
      </c>
      <c r="K28">
        <v>2</v>
      </c>
      <c r="L28">
        <f t="shared" si="0"/>
        <v>6</v>
      </c>
      <c r="M28" t="str">
        <f t="shared" si="1"/>
        <v>QM</v>
      </c>
      <c r="N28" t="s">
        <v>85</v>
      </c>
    </row>
    <row r="29" spans="3:14" x14ac:dyDescent="0.25">
      <c r="C29">
        <v>21</v>
      </c>
      <c r="D29" t="s">
        <v>61</v>
      </c>
      <c r="E29" s="8" t="s">
        <v>27</v>
      </c>
      <c r="F29" s="8" t="s">
        <v>34</v>
      </c>
      <c r="G29" s="8" t="s">
        <v>48</v>
      </c>
      <c r="H29" s="8" t="s">
        <v>51</v>
      </c>
      <c r="I29" s="8">
        <v>3</v>
      </c>
      <c r="J29" s="8">
        <v>4</v>
      </c>
      <c r="K29" s="8">
        <v>2</v>
      </c>
      <c r="L29">
        <f t="shared" si="0"/>
        <v>9</v>
      </c>
      <c r="M29" t="str">
        <f t="shared" si="1"/>
        <v>ASIL C</v>
      </c>
      <c r="N29" s="8" t="s">
        <v>30</v>
      </c>
    </row>
    <row r="30" spans="3:14" x14ac:dyDescent="0.25">
      <c r="C30">
        <v>22</v>
      </c>
      <c r="D30" t="s">
        <v>61</v>
      </c>
      <c r="E30" t="s">
        <v>27</v>
      </c>
      <c r="F30" t="s">
        <v>36</v>
      </c>
      <c r="G30" t="s">
        <v>73</v>
      </c>
      <c r="H30" t="s">
        <v>51</v>
      </c>
      <c r="I30">
        <v>3</v>
      </c>
      <c r="J30">
        <v>4</v>
      </c>
      <c r="K30">
        <v>2</v>
      </c>
      <c r="L30">
        <f t="shared" si="0"/>
        <v>9</v>
      </c>
      <c r="M30" t="str">
        <f t="shared" si="1"/>
        <v>ASIL C</v>
      </c>
      <c r="N30" t="s">
        <v>82</v>
      </c>
    </row>
    <row r="31" spans="3:14" x14ac:dyDescent="0.25">
      <c r="C31">
        <v>23</v>
      </c>
      <c r="D31" t="s">
        <v>61</v>
      </c>
      <c r="E31" t="s">
        <v>27</v>
      </c>
      <c r="F31" t="s">
        <v>40</v>
      </c>
      <c r="G31" t="s">
        <v>49</v>
      </c>
      <c r="H31" t="s">
        <v>28</v>
      </c>
      <c r="I31">
        <v>2</v>
      </c>
      <c r="J31">
        <v>3</v>
      </c>
      <c r="K31">
        <v>2</v>
      </c>
      <c r="L31">
        <f t="shared" si="0"/>
        <v>7</v>
      </c>
      <c r="M31" t="str">
        <f t="shared" si="1"/>
        <v>ASIL A</v>
      </c>
      <c r="N31" t="s">
        <v>90</v>
      </c>
    </row>
    <row r="32" spans="3:14" x14ac:dyDescent="0.25">
      <c r="C32">
        <v>24</v>
      </c>
      <c r="D32" t="s">
        <v>61</v>
      </c>
      <c r="E32" t="s">
        <v>54</v>
      </c>
      <c r="F32" t="s">
        <v>37</v>
      </c>
      <c r="G32" t="s">
        <v>74</v>
      </c>
      <c r="H32" t="s">
        <v>51</v>
      </c>
      <c r="I32">
        <v>2</v>
      </c>
      <c r="J32">
        <v>4</v>
      </c>
      <c r="K32">
        <v>3</v>
      </c>
      <c r="L32">
        <f t="shared" si="0"/>
        <v>9</v>
      </c>
      <c r="M32" t="str">
        <f t="shared" si="1"/>
        <v>ASIL C</v>
      </c>
      <c r="N32" t="s">
        <v>83</v>
      </c>
    </row>
    <row r="33" spans="3:14" x14ac:dyDescent="0.25">
      <c r="C33">
        <v>25</v>
      </c>
      <c r="D33" t="s">
        <v>61</v>
      </c>
      <c r="E33" t="s">
        <v>54</v>
      </c>
      <c r="F33" t="s">
        <v>36</v>
      </c>
      <c r="G33" t="s">
        <v>75</v>
      </c>
      <c r="H33" t="s">
        <v>28</v>
      </c>
      <c r="I33">
        <v>2</v>
      </c>
      <c r="J33">
        <v>1</v>
      </c>
      <c r="K33">
        <v>2</v>
      </c>
      <c r="L33">
        <f t="shared" si="0"/>
        <v>5</v>
      </c>
      <c r="M33" t="str">
        <f t="shared" si="1"/>
        <v>QM</v>
      </c>
      <c r="N33" t="s">
        <v>85</v>
      </c>
    </row>
    <row r="34" spans="3:14" x14ac:dyDescent="0.25">
      <c r="C34">
        <v>26</v>
      </c>
      <c r="D34" t="s">
        <v>62</v>
      </c>
      <c r="E34" s="8" t="s">
        <v>27</v>
      </c>
      <c r="F34" s="8" t="s">
        <v>38</v>
      </c>
      <c r="G34" s="8" t="s">
        <v>73</v>
      </c>
      <c r="H34" s="8" t="s">
        <v>51</v>
      </c>
      <c r="I34" s="8">
        <v>3</v>
      </c>
      <c r="J34" s="8">
        <v>4</v>
      </c>
      <c r="K34" s="8">
        <v>1</v>
      </c>
      <c r="L34">
        <f t="shared" si="0"/>
        <v>8</v>
      </c>
      <c r="M34" t="str">
        <f t="shared" si="1"/>
        <v>ASIL B</v>
      </c>
      <c r="N34" s="8" t="s">
        <v>91</v>
      </c>
    </row>
    <row r="35" spans="3:14" x14ac:dyDescent="0.25">
      <c r="C35">
        <v>27</v>
      </c>
      <c r="D35" t="s">
        <v>62</v>
      </c>
      <c r="E35" t="s">
        <v>27</v>
      </c>
      <c r="F35" t="s">
        <v>36</v>
      </c>
      <c r="G35" t="s">
        <v>73</v>
      </c>
      <c r="H35" t="s">
        <v>51</v>
      </c>
      <c r="I35">
        <v>3</v>
      </c>
      <c r="J35">
        <v>4</v>
      </c>
      <c r="K35">
        <v>1</v>
      </c>
      <c r="L35">
        <f t="shared" si="0"/>
        <v>8</v>
      </c>
      <c r="M35" t="str">
        <f t="shared" si="1"/>
        <v>ASIL B</v>
      </c>
      <c r="N35" t="s">
        <v>82</v>
      </c>
    </row>
    <row r="36" spans="3:14" x14ac:dyDescent="0.25">
      <c r="C36">
        <v>28</v>
      </c>
      <c r="D36" t="s">
        <v>62</v>
      </c>
      <c r="E36" t="s">
        <v>54</v>
      </c>
      <c r="F36" t="s">
        <v>34</v>
      </c>
      <c r="G36" t="s">
        <v>79</v>
      </c>
      <c r="H36" t="s">
        <v>28</v>
      </c>
      <c r="I36">
        <v>2</v>
      </c>
      <c r="J36">
        <v>3</v>
      </c>
      <c r="K36">
        <v>1</v>
      </c>
      <c r="L36">
        <f t="shared" si="0"/>
        <v>6</v>
      </c>
      <c r="M36" t="str">
        <f t="shared" si="1"/>
        <v>QM</v>
      </c>
      <c r="N36" t="s">
        <v>85</v>
      </c>
    </row>
    <row r="37" spans="3:14" x14ac:dyDescent="0.25">
      <c r="C37">
        <v>29</v>
      </c>
      <c r="D37" t="s">
        <v>62</v>
      </c>
      <c r="E37" t="s">
        <v>54</v>
      </c>
      <c r="F37" t="s">
        <v>32</v>
      </c>
      <c r="G37" t="s">
        <v>77</v>
      </c>
      <c r="H37" t="s">
        <v>51</v>
      </c>
      <c r="I37">
        <v>3</v>
      </c>
      <c r="J37">
        <v>4</v>
      </c>
      <c r="K37">
        <v>2</v>
      </c>
      <c r="L37">
        <f t="shared" si="0"/>
        <v>9</v>
      </c>
      <c r="M37" t="str">
        <f t="shared" si="1"/>
        <v>ASIL C</v>
      </c>
      <c r="N37" t="s">
        <v>87</v>
      </c>
    </row>
    <row r="38" spans="3:14" x14ac:dyDescent="0.25">
      <c r="C38">
        <v>30</v>
      </c>
      <c r="D38" t="s">
        <v>62</v>
      </c>
      <c r="E38" t="s">
        <v>54</v>
      </c>
      <c r="F38" t="s">
        <v>42</v>
      </c>
      <c r="G38" t="s">
        <v>74</v>
      </c>
      <c r="H38" t="s">
        <v>51</v>
      </c>
      <c r="I38">
        <v>3</v>
      </c>
      <c r="J38">
        <v>4</v>
      </c>
      <c r="K38">
        <v>2</v>
      </c>
      <c r="L38">
        <f t="shared" si="0"/>
        <v>9</v>
      </c>
      <c r="M38" t="str">
        <f>IF(L38=7,"ASIL A",IF(L38=8,"ASIL B",IF(L38=9,"ASIL C",IF(L38=10,"ASIL D","QM"))))</f>
        <v>ASIL C</v>
      </c>
      <c r="N38" t="s">
        <v>92</v>
      </c>
    </row>
    <row r="39" spans="3:14" x14ac:dyDescent="0.25">
      <c r="C39">
        <v>31</v>
      </c>
      <c r="D39" t="s">
        <v>63</v>
      </c>
      <c r="E39" s="8" t="s">
        <v>27</v>
      </c>
      <c r="F39" s="8" t="s">
        <v>32</v>
      </c>
      <c r="G39" s="8" t="s">
        <v>80</v>
      </c>
      <c r="H39" s="8" t="s">
        <v>53</v>
      </c>
      <c r="I39" s="8">
        <v>3</v>
      </c>
      <c r="J39" s="8">
        <v>4</v>
      </c>
      <c r="K39" s="8">
        <v>3</v>
      </c>
      <c r="L39">
        <f t="shared" si="0"/>
        <v>10</v>
      </c>
      <c r="M39" t="str">
        <f t="shared" ref="M39:M58" si="2">IF(L39=7,"ASIL A",IF(L39=8,"ASIL B",IF(L39=9,"ASIL C",IF(L39=10,"ASIL D","QM"))))</f>
        <v>ASIL D</v>
      </c>
      <c r="N39" s="8" t="s">
        <v>93</v>
      </c>
    </row>
    <row r="40" spans="3:14" x14ac:dyDescent="0.25">
      <c r="C40">
        <v>32</v>
      </c>
      <c r="D40" t="s">
        <v>63</v>
      </c>
      <c r="E40" t="s">
        <v>27</v>
      </c>
      <c r="F40" t="s">
        <v>33</v>
      </c>
      <c r="G40" t="s">
        <v>49</v>
      </c>
      <c r="H40" t="s">
        <v>53</v>
      </c>
      <c r="I40">
        <v>3</v>
      </c>
      <c r="J40">
        <v>4</v>
      </c>
      <c r="K40">
        <v>3</v>
      </c>
      <c r="L40">
        <f t="shared" si="0"/>
        <v>10</v>
      </c>
      <c r="M40" t="str">
        <f t="shared" si="2"/>
        <v>ASIL D</v>
      </c>
      <c r="N40" t="s">
        <v>55</v>
      </c>
    </row>
    <row r="41" spans="3:14" x14ac:dyDescent="0.25">
      <c r="C41">
        <v>33</v>
      </c>
      <c r="D41" t="s">
        <v>63</v>
      </c>
      <c r="E41" t="s">
        <v>27</v>
      </c>
      <c r="F41" t="s">
        <v>35</v>
      </c>
      <c r="G41" t="s">
        <v>80</v>
      </c>
      <c r="H41" t="s">
        <v>53</v>
      </c>
      <c r="I41">
        <v>3</v>
      </c>
      <c r="J41">
        <v>4</v>
      </c>
      <c r="K41">
        <v>3</v>
      </c>
      <c r="L41">
        <f t="shared" si="0"/>
        <v>10</v>
      </c>
      <c r="M41" t="str">
        <f t="shared" si="2"/>
        <v>ASIL D</v>
      </c>
      <c r="N41" t="s">
        <v>94</v>
      </c>
    </row>
    <row r="42" spans="3:14" x14ac:dyDescent="0.25">
      <c r="C42">
        <v>34</v>
      </c>
      <c r="D42" t="s">
        <v>63</v>
      </c>
      <c r="E42" t="s">
        <v>54</v>
      </c>
      <c r="F42" t="s">
        <v>32</v>
      </c>
      <c r="G42" t="s">
        <v>77</v>
      </c>
      <c r="H42" t="s">
        <v>53</v>
      </c>
      <c r="I42">
        <v>3</v>
      </c>
      <c r="J42">
        <v>4</v>
      </c>
      <c r="K42">
        <v>3</v>
      </c>
      <c r="L42">
        <f t="shared" si="0"/>
        <v>10</v>
      </c>
      <c r="M42" t="str">
        <f t="shared" si="2"/>
        <v>ASIL D</v>
      </c>
      <c r="N42" t="s">
        <v>87</v>
      </c>
    </row>
    <row r="43" spans="3:14" x14ac:dyDescent="0.25">
      <c r="C43">
        <v>35</v>
      </c>
      <c r="D43" t="s">
        <v>63</v>
      </c>
      <c r="E43" t="s">
        <v>54</v>
      </c>
      <c r="F43" t="s">
        <v>34</v>
      </c>
      <c r="G43" t="s">
        <v>79</v>
      </c>
      <c r="H43" t="s">
        <v>53</v>
      </c>
      <c r="I43">
        <v>3</v>
      </c>
      <c r="J43">
        <v>4</v>
      </c>
      <c r="K43">
        <v>3</v>
      </c>
      <c r="L43">
        <f t="shared" si="0"/>
        <v>10</v>
      </c>
      <c r="M43" t="str">
        <f t="shared" si="2"/>
        <v>ASIL D</v>
      </c>
      <c r="N43" t="s">
        <v>95</v>
      </c>
    </row>
    <row r="44" spans="3:14" x14ac:dyDescent="0.25">
      <c r="C44">
        <v>36</v>
      </c>
      <c r="D44" t="s">
        <v>64</v>
      </c>
      <c r="E44" s="8" t="s">
        <v>27</v>
      </c>
      <c r="F44" s="8" t="s">
        <v>34</v>
      </c>
      <c r="G44" s="8" t="s">
        <v>48</v>
      </c>
      <c r="H44" s="8" t="s">
        <v>51</v>
      </c>
      <c r="I44" s="8">
        <v>1</v>
      </c>
      <c r="J44" s="8">
        <v>3</v>
      </c>
      <c r="K44" s="8">
        <v>3</v>
      </c>
      <c r="L44">
        <f t="shared" si="0"/>
        <v>7</v>
      </c>
      <c r="M44" t="str">
        <f t="shared" si="2"/>
        <v>ASIL A</v>
      </c>
      <c r="N44" s="8" t="s">
        <v>30</v>
      </c>
    </row>
    <row r="45" spans="3:14" x14ac:dyDescent="0.25">
      <c r="C45">
        <v>37</v>
      </c>
      <c r="D45" t="s">
        <v>64</v>
      </c>
      <c r="E45" t="s">
        <v>27</v>
      </c>
      <c r="F45" t="s">
        <v>36</v>
      </c>
      <c r="G45" t="s">
        <v>73</v>
      </c>
      <c r="H45" t="s">
        <v>51</v>
      </c>
      <c r="I45">
        <v>2</v>
      </c>
      <c r="J45">
        <v>4</v>
      </c>
      <c r="K45">
        <v>3</v>
      </c>
      <c r="L45">
        <f t="shared" si="0"/>
        <v>9</v>
      </c>
      <c r="M45" t="str">
        <f t="shared" si="2"/>
        <v>ASIL C</v>
      </c>
      <c r="N45" t="s">
        <v>82</v>
      </c>
    </row>
    <row r="46" spans="3:14" x14ac:dyDescent="0.25">
      <c r="C46">
        <v>38</v>
      </c>
      <c r="D46" t="s">
        <v>64</v>
      </c>
      <c r="E46" t="s">
        <v>27</v>
      </c>
      <c r="F46" t="s">
        <v>32</v>
      </c>
      <c r="G46" t="s">
        <v>80</v>
      </c>
      <c r="H46" t="s">
        <v>28</v>
      </c>
      <c r="I46">
        <v>1</v>
      </c>
      <c r="J46">
        <v>3</v>
      </c>
      <c r="K46">
        <v>2</v>
      </c>
      <c r="L46">
        <f t="shared" si="0"/>
        <v>6</v>
      </c>
      <c r="M46" t="str">
        <f t="shared" si="2"/>
        <v>QM</v>
      </c>
      <c r="N46" t="s">
        <v>85</v>
      </c>
    </row>
    <row r="47" spans="3:14" x14ac:dyDescent="0.25">
      <c r="C47">
        <v>39</v>
      </c>
      <c r="D47" t="s">
        <v>64</v>
      </c>
      <c r="E47" t="s">
        <v>54</v>
      </c>
      <c r="F47" t="s">
        <v>32</v>
      </c>
      <c r="G47" t="s">
        <v>77</v>
      </c>
      <c r="H47" t="s">
        <v>51</v>
      </c>
      <c r="I47">
        <v>2</v>
      </c>
      <c r="J47">
        <v>4</v>
      </c>
      <c r="K47">
        <v>3</v>
      </c>
      <c r="L47">
        <f t="shared" si="0"/>
        <v>9</v>
      </c>
      <c r="M47" t="str">
        <f t="shared" si="2"/>
        <v>ASIL C</v>
      </c>
      <c r="N47" t="s">
        <v>87</v>
      </c>
    </row>
    <row r="48" spans="3:14" x14ac:dyDescent="0.25">
      <c r="C48">
        <v>40</v>
      </c>
      <c r="D48" t="s">
        <v>64</v>
      </c>
      <c r="E48" t="s">
        <v>54</v>
      </c>
      <c r="F48" t="s">
        <v>34</v>
      </c>
      <c r="G48" t="s">
        <v>79</v>
      </c>
      <c r="H48" t="s">
        <v>28</v>
      </c>
      <c r="I48">
        <v>1</v>
      </c>
      <c r="J48">
        <v>3</v>
      </c>
      <c r="K48">
        <v>3</v>
      </c>
      <c r="L48">
        <f t="shared" si="0"/>
        <v>7</v>
      </c>
      <c r="M48" t="str">
        <f t="shared" si="2"/>
        <v>ASIL A</v>
      </c>
      <c r="N48" t="s">
        <v>95</v>
      </c>
    </row>
    <row r="49" spans="3:14" x14ac:dyDescent="0.25">
      <c r="C49">
        <v>41</v>
      </c>
      <c r="D49" t="s">
        <v>124</v>
      </c>
      <c r="E49" s="8" t="s">
        <v>27</v>
      </c>
      <c r="F49" s="8" t="s">
        <v>34</v>
      </c>
      <c r="G49" s="8" t="s">
        <v>48</v>
      </c>
      <c r="H49" s="8" t="s">
        <v>28</v>
      </c>
      <c r="I49" s="8">
        <v>1</v>
      </c>
      <c r="J49" s="8">
        <v>2</v>
      </c>
      <c r="K49" s="8">
        <v>1</v>
      </c>
      <c r="L49">
        <f t="shared" si="0"/>
        <v>4</v>
      </c>
      <c r="M49" t="str">
        <f t="shared" si="2"/>
        <v>QM</v>
      </c>
      <c r="N49" s="8" t="s">
        <v>85</v>
      </c>
    </row>
    <row r="50" spans="3:14" x14ac:dyDescent="0.25">
      <c r="C50">
        <v>42</v>
      </c>
      <c r="D50" t="s">
        <v>124</v>
      </c>
      <c r="E50" t="s">
        <v>27</v>
      </c>
      <c r="F50" t="s">
        <v>36</v>
      </c>
      <c r="G50" t="s">
        <v>73</v>
      </c>
      <c r="H50" t="s">
        <v>28</v>
      </c>
      <c r="I50">
        <v>2</v>
      </c>
      <c r="J50">
        <v>2</v>
      </c>
      <c r="K50">
        <v>1</v>
      </c>
      <c r="L50">
        <f t="shared" si="0"/>
        <v>5</v>
      </c>
      <c r="M50" t="str">
        <f t="shared" si="2"/>
        <v>QM</v>
      </c>
      <c r="N50" t="s">
        <v>85</v>
      </c>
    </row>
    <row r="51" spans="3:14" x14ac:dyDescent="0.25">
      <c r="C51">
        <v>43</v>
      </c>
      <c r="D51" t="s">
        <v>124</v>
      </c>
      <c r="E51" t="s">
        <v>27</v>
      </c>
      <c r="F51" t="s">
        <v>33</v>
      </c>
      <c r="G51" t="s">
        <v>49</v>
      </c>
      <c r="H51" t="s">
        <v>51</v>
      </c>
      <c r="I51">
        <v>3</v>
      </c>
      <c r="J51">
        <v>3</v>
      </c>
      <c r="K51">
        <v>2</v>
      </c>
      <c r="L51">
        <f t="shared" si="0"/>
        <v>8</v>
      </c>
      <c r="M51" t="str">
        <f t="shared" si="2"/>
        <v>ASIL B</v>
      </c>
      <c r="N51" t="s">
        <v>96</v>
      </c>
    </row>
    <row r="52" spans="3:14" x14ac:dyDescent="0.25">
      <c r="C52">
        <v>44</v>
      </c>
      <c r="D52" t="s">
        <v>124</v>
      </c>
      <c r="E52" t="s">
        <v>54</v>
      </c>
      <c r="F52" t="s">
        <v>34</v>
      </c>
      <c r="G52" t="s">
        <v>79</v>
      </c>
      <c r="H52" t="s">
        <v>51</v>
      </c>
      <c r="I52">
        <v>3</v>
      </c>
      <c r="J52">
        <v>3</v>
      </c>
      <c r="K52">
        <v>3</v>
      </c>
      <c r="L52">
        <f t="shared" si="0"/>
        <v>9</v>
      </c>
      <c r="M52" t="str">
        <f t="shared" si="2"/>
        <v>ASIL C</v>
      </c>
      <c r="N52" t="s">
        <v>95</v>
      </c>
    </row>
    <row r="53" spans="3:14" x14ac:dyDescent="0.25">
      <c r="C53">
        <v>45</v>
      </c>
      <c r="D53" t="s">
        <v>124</v>
      </c>
      <c r="E53" t="s">
        <v>54</v>
      </c>
      <c r="F53" t="s">
        <v>32</v>
      </c>
      <c r="G53" t="s">
        <v>77</v>
      </c>
      <c r="H53" t="s">
        <v>28</v>
      </c>
      <c r="I53">
        <v>2</v>
      </c>
      <c r="J53">
        <v>2</v>
      </c>
      <c r="K53">
        <v>2</v>
      </c>
      <c r="L53">
        <f t="shared" si="0"/>
        <v>6</v>
      </c>
      <c r="M53" t="str">
        <f t="shared" si="2"/>
        <v>QM</v>
      </c>
      <c r="N53" t="s">
        <v>85</v>
      </c>
    </row>
    <row r="54" spans="3:14" x14ac:dyDescent="0.25">
      <c r="C54">
        <v>46</v>
      </c>
      <c r="D54" t="s">
        <v>125</v>
      </c>
      <c r="E54" s="8" t="s">
        <v>27</v>
      </c>
      <c r="F54" s="8" t="s">
        <v>37</v>
      </c>
      <c r="G54" s="8" t="s">
        <v>50</v>
      </c>
      <c r="H54" s="8" t="s">
        <v>28</v>
      </c>
      <c r="I54" s="8">
        <v>2</v>
      </c>
      <c r="J54" s="8">
        <v>2</v>
      </c>
      <c r="K54" s="8">
        <v>3</v>
      </c>
      <c r="L54">
        <f t="shared" si="0"/>
        <v>7</v>
      </c>
      <c r="M54" t="str">
        <f t="shared" si="2"/>
        <v>ASIL A</v>
      </c>
      <c r="N54" s="8" t="s">
        <v>56</v>
      </c>
    </row>
    <row r="55" spans="3:14" x14ac:dyDescent="0.25">
      <c r="C55">
        <v>47</v>
      </c>
      <c r="D55" t="s">
        <v>125</v>
      </c>
      <c r="E55" t="s">
        <v>27</v>
      </c>
      <c r="F55" t="s">
        <v>32</v>
      </c>
      <c r="G55" t="s">
        <v>80</v>
      </c>
      <c r="H55" t="s">
        <v>28</v>
      </c>
      <c r="I55">
        <v>2</v>
      </c>
      <c r="J55">
        <v>2</v>
      </c>
      <c r="K55">
        <v>3</v>
      </c>
      <c r="L55">
        <f t="shared" si="0"/>
        <v>7</v>
      </c>
      <c r="M55" t="str">
        <f t="shared" si="2"/>
        <v>ASIL A</v>
      </c>
      <c r="N55" t="s">
        <v>93</v>
      </c>
    </row>
    <row r="56" spans="3:14" x14ac:dyDescent="0.25">
      <c r="C56">
        <v>48</v>
      </c>
      <c r="D56" t="s">
        <v>125</v>
      </c>
      <c r="E56" t="s">
        <v>27</v>
      </c>
      <c r="F56" t="s">
        <v>39</v>
      </c>
      <c r="G56" t="s">
        <v>50</v>
      </c>
      <c r="H56" t="s">
        <v>28</v>
      </c>
      <c r="I56">
        <v>2</v>
      </c>
      <c r="J56">
        <v>2</v>
      </c>
      <c r="K56">
        <v>3</v>
      </c>
      <c r="L56">
        <f t="shared" si="0"/>
        <v>7</v>
      </c>
      <c r="M56" t="str">
        <f t="shared" si="2"/>
        <v>ASIL A</v>
      </c>
      <c r="N56" t="s">
        <v>97</v>
      </c>
    </row>
    <row r="57" spans="3:14" x14ac:dyDescent="0.25">
      <c r="C57">
        <v>49</v>
      </c>
      <c r="D57" t="s">
        <v>125</v>
      </c>
      <c r="E57" t="s">
        <v>54</v>
      </c>
      <c r="F57" t="s">
        <v>32</v>
      </c>
      <c r="G57" t="s">
        <v>77</v>
      </c>
      <c r="H57" t="s">
        <v>51</v>
      </c>
      <c r="I57">
        <v>3</v>
      </c>
      <c r="J57">
        <v>3</v>
      </c>
      <c r="K57">
        <v>3</v>
      </c>
      <c r="L57">
        <f t="shared" si="0"/>
        <v>9</v>
      </c>
      <c r="M57" t="str">
        <f t="shared" si="2"/>
        <v>ASIL C</v>
      </c>
      <c r="N57" t="s">
        <v>87</v>
      </c>
    </row>
    <row r="58" spans="3:14" x14ac:dyDescent="0.25">
      <c r="C58">
        <v>50</v>
      </c>
      <c r="D58" t="s">
        <v>125</v>
      </c>
      <c r="E58" t="s">
        <v>54</v>
      </c>
      <c r="F58" t="s">
        <v>37</v>
      </c>
      <c r="G58" t="s">
        <v>74</v>
      </c>
      <c r="H58" t="s">
        <v>51</v>
      </c>
      <c r="I58">
        <v>3</v>
      </c>
      <c r="J58">
        <v>3</v>
      </c>
      <c r="K58">
        <v>2</v>
      </c>
      <c r="L58">
        <f t="shared" si="0"/>
        <v>8</v>
      </c>
      <c r="M58" t="str">
        <f t="shared" si="2"/>
        <v>ASIL B</v>
      </c>
      <c r="N58" t="s">
        <v>83</v>
      </c>
    </row>
  </sheetData>
  <conditionalFormatting sqref="M9:M58">
    <cfRule type="cellIs" dxfId="4" priority="1" operator="equal">
      <formula>"QM"</formula>
    </cfRule>
    <cfRule type="cellIs" dxfId="3" priority="2" operator="equal">
      <formula>"ASIL C"</formula>
    </cfRule>
    <cfRule type="cellIs" dxfId="2" priority="4" operator="equal">
      <formula>"ASIL B"</formula>
    </cfRule>
    <cfRule type="cellIs" dxfId="1" priority="5" operator="equal">
      <formula>"ASIL D"</formula>
    </cfRule>
    <cfRule type="cellIs" dxfId="0" priority="6" operator="equal">
      <formula>"ASIL A"</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89E03-2F32-4060-B573-71160A53DBC6}">
  <dimension ref="D8:M49"/>
  <sheetViews>
    <sheetView zoomScale="72" zoomScaleNormal="70" workbookViewId="0">
      <pane ySplit="8" topLeftCell="A9" activePane="bottomLeft" state="frozen"/>
      <selection pane="bottomLeft" activeCell="C17" sqref="C17"/>
    </sheetView>
  </sheetViews>
  <sheetFormatPr defaultRowHeight="13.2" x14ac:dyDescent="0.25"/>
  <cols>
    <col min="4" max="4" width="15.6640625" customWidth="1"/>
    <col min="5" max="5" width="57.44140625" customWidth="1"/>
    <col min="6" max="6" width="20.6640625" customWidth="1"/>
    <col min="7" max="8" width="10.6640625" customWidth="1"/>
  </cols>
  <sheetData>
    <row r="8" spans="4:12" x14ac:dyDescent="0.25">
      <c r="D8" s="3" t="s">
        <v>68</v>
      </c>
      <c r="E8" s="3" t="s">
        <v>69</v>
      </c>
      <c r="F8" s="3" t="s">
        <v>72</v>
      </c>
      <c r="G8" s="3" t="s">
        <v>70</v>
      </c>
      <c r="H8" s="3" t="s">
        <v>71</v>
      </c>
    </row>
    <row r="9" spans="4:12" ht="13.8" x14ac:dyDescent="0.3">
      <c r="D9" s="12" t="s">
        <v>65</v>
      </c>
      <c r="E9" s="14" t="s">
        <v>128</v>
      </c>
      <c r="F9" s="14" t="s">
        <v>178</v>
      </c>
      <c r="G9" s="13" t="s">
        <v>140</v>
      </c>
      <c r="H9" s="13" t="s">
        <v>141</v>
      </c>
      <c r="I9" s="11"/>
    </row>
    <row r="10" spans="4:12" ht="13.8" x14ac:dyDescent="0.3">
      <c r="D10" s="12" t="s">
        <v>65</v>
      </c>
      <c r="E10" s="14" t="s">
        <v>129</v>
      </c>
      <c r="F10" s="14" t="s">
        <v>178</v>
      </c>
      <c r="G10" s="13" t="s">
        <v>140</v>
      </c>
      <c r="H10" s="10" t="s">
        <v>142</v>
      </c>
      <c r="I10" s="11"/>
    </row>
    <row r="11" spans="4:12" ht="13.8" x14ac:dyDescent="0.3">
      <c r="D11" s="12" t="s">
        <v>65</v>
      </c>
      <c r="E11" s="14" t="s">
        <v>130</v>
      </c>
      <c r="F11" s="14" t="s">
        <v>110</v>
      </c>
      <c r="G11" s="13" t="s">
        <v>140</v>
      </c>
      <c r="H11" s="10" t="s">
        <v>143</v>
      </c>
      <c r="I11" s="11"/>
    </row>
    <row r="12" spans="4:12" ht="13.8" x14ac:dyDescent="0.3">
      <c r="D12" s="12" t="s">
        <v>65</v>
      </c>
      <c r="E12" s="14" t="s">
        <v>131</v>
      </c>
      <c r="F12" s="14" t="s">
        <v>138</v>
      </c>
      <c r="G12" s="13" t="s">
        <v>140</v>
      </c>
      <c r="H12" s="10" t="s">
        <v>144</v>
      </c>
      <c r="I12" s="11"/>
    </row>
    <row r="13" spans="4:12" ht="13.8" x14ac:dyDescent="0.3">
      <c r="D13" s="12" t="s">
        <v>65</v>
      </c>
      <c r="E13" s="14" t="s">
        <v>132</v>
      </c>
      <c r="F13" s="14" t="s">
        <v>139</v>
      </c>
      <c r="G13" s="13" t="s">
        <v>140</v>
      </c>
      <c r="H13" s="10" t="s">
        <v>145</v>
      </c>
      <c r="I13" s="11"/>
    </row>
    <row r="14" spans="4:12" ht="13.8" x14ac:dyDescent="0.3">
      <c r="D14" s="12" t="s">
        <v>65</v>
      </c>
      <c r="E14" s="14" t="s">
        <v>133</v>
      </c>
      <c r="F14" s="14" t="s">
        <v>178</v>
      </c>
      <c r="G14" s="13" t="s">
        <v>140</v>
      </c>
      <c r="H14" s="10" t="s">
        <v>141</v>
      </c>
      <c r="I14" s="11"/>
    </row>
    <row r="15" spans="4:12" ht="13.8" x14ac:dyDescent="0.3">
      <c r="D15" s="12" t="s">
        <v>65</v>
      </c>
      <c r="E15" s="17" t="s">
        <v>134</v>
      </c>
      <c r="F15" s="14" t="s">
        <v>178</v>
      </c>
      <c r="G15" s="13" t="s">
        <v>140</v>
      </c>
      <c r="H15" s="10" t="s">
        <v>145</v>
      </c>
      <c r="I15" s="11"/>
    </row>
    <row r="16" spans="4:12" ht="26.4" x14ac:dyDescent="0.3">
      <c r="D16" s="12" t="s">
        <v>65</v>
      </c>
      <c r="E16" s="17" t="s">
        <v>135</v>
      </c>
      <c r="F16" s="17" t="s">
        <v>110</v>
      </c>
      <c r="G16" s="13" t="s">
        <v>140</v>
      </c>
      <c r="H16" s="10" t="s">
        <v>143</v>
      </c>
      <c r="I16" s="11"/>
      <c r="L16" s="16"/>
    </row>
    <row r="17" spans="4:13" ht="26.4" x14ac:dyDescent="0.3">
      <c r="D17" s="12" t="s">
        <v>65</v>
      </c>
      <c r="E17" s="17" t="s">
        <v>136</v>
      </c>
      <c r="F17" s="14" t="s">
        <v>138</v>
      </c>
      <c r="G17" s="13" t="s">
        <v>140</v>
      </c>
      <c r="H17" s="10" t="s">
        <v>141</v>
      </c>
      <c r="I17" s="11"/>
      <c r="L17" s="16"/>
    </row>
    <row r="18" spans="4:13" ht="13.8" x14ac:dyDescent="0.3">
      <c r="D18" s="12" t="s">
        <v>65</v>
      </c>
      <c r="E18" s="14" t="s">
        <v>137</v>
      </c>
      <c r="F18" s="14" t="s">
        <v>178</v>
      </c>
      <c r="G18" s="13" t="s">
        <v>140</v>
      </c>
      <c r="H18" s="10" t="s">
        <v>144</v>
      </c>
      <c r="I18" s="11"/>
      <c r="L18" s="16"/>
    </row>
    <row r="19" spans="4:13" ht="13.8" x14ac:dyDescent="0.3">
      <c r="D19" s="12" t="s">
        <v>66</v>
      </c>
      <c r="E19" s="14" t="s">
        <v>146</v>
      </c>
      <c r="F19" s="14" t="s">
        <v>110</v>
      </c>
      <c r="G19" s="13" t="s">
        <v>157</v>
      </c>
      <c r="H19" s="10" t="s">
        <v>159</v>
      </c>
      <c r="I19" s="11"/>
    </row>
    <row r="20" spans="4:13" ht="13.8" x14ac:dyDescent="0.3">
      <c r="D20" s="12" t="s">
        <v>66</v>
      </c>
      <c r="E20" s="14" t="s">
        <v>147</v>
      </c>
      <c r="F20" s="14" t="s">
        <v>110</v>
      </c>
      <c r="G20" s="13" t="s">
        <v>158</v>
      </c>
      <c r="H20" s="10" t="s">
        <v>160</v>
      </c>
      <c r="I20" s="11"/>
    </row>
    <row r="21" spans="4:13" ht="13.8" x14ac:dyDescent="0.3">
      <c r="D21" s="12" t="s">
        <v>66</v>
      </c>
      <c r="E21" s="14" t="s">
        <v>148</v>
      </c>
      <c r="F21" s="14" t="s">
        <v>156</v>
      </c>
      <c r="G21" s="13" t="s">
        <v>157</v>
      </c>
      <c r="H21" s="10" t="s">
        <v>141</v>
      </c>
      <c r="I21" s="11"/>
    </row>
    <row r="22" spans="4:13" ht="13.8" x14ac:dyDescent="0.3">
      <c r="D22" s="12" t="s">
        <v>66</v>
      </c>
      <c r="E22" s="14" t="s">
        <v>149</v>
      </c>
      <c r="F22" s="14" t="s">
        <v>178</v>
      </c>
      <c r="G22" s="13" t="s">
        <v>158</v>
      </c>
      <c r="H22" s="10" t="s">
        <v>145</v>
      </c>
      <c r="I22" s="11"/>
    </row>
    <row r="23" spans="4:13" ht="13.8" x14ac:dyDescent="0.3">
      <c r="D23" s="12" t="s">
        <v>66</v>
      </c>
      <c r="E23" s="14" t="s">
        <v>150</v>
      </c>
      <c r="F23" s="14" t="s">
        <v>110</v>
      </c>
      <c r="G23" s="13" t="s">
        <v>157</v>
      </c>
      <c r="H23" s="10" t="s">
        <v>161</v>
      </c>
      <c r="I23" s="11"/>
    </row>
    <row r="24" spans="4:13" ht="13.8" x14ac:dyDescent="0.3">
      <c r="D24" s="12" t="s">
        <v>66</v>
      </c>
      <c r="E24" s="14" t="s">
        <v>151</v>
      </c>
      <c r="F24" s="14" t="s">
        <v>110</v>
      </c>
      <c r="G24" s="13" t="s">
        <v>158</v>
      </c>
      <c r="H24" s="10" t="s">
        <v>116</v>
      </c>
      <c r="I24" s="11"/>
      <c r="M24" s="16"/>
    </row>
    <row r="25" spans="4:13" ht="13.8" x14ac:dyDescent="0.3">
      <c r="D25" s="12" t="s">
        <v>66</v>
      </c>
      <c r="E25" s="14" t="s">
        <v>152</v>
      </c>
      <c r="F25" s="14" t="s">
        <v>139</v>
      </c>
      <c r="G25" s="13" t="s">
        <v>157</v>
      </c>
      <c r="H25" s="10" t="s">
        <v>162</v>
      </c>
      <c r="I25" s="11"/>
    </row>
    <row r="26" spans="4:13" ht="13.8" x14ac:dyDescent="0.3">
      <c r="D26" s="12" t="s">
        <v>66</v>
      </c>
      <c r="E26" s="14" t="s">
        <v>153</v>
      </c>
      <c r="F26" s="14" t="s">
        <v>110</v>
      </c>
      <c r="G26" s="13" t="s">
        <v>158</v>
      </c>
      <c r="H26" s="10" t="s">
        <v>117</v>
      </c>
      <c r="I26" s="11"/>
    </row>
    <row r="27" spans="4:13" ht="13.8" x14ac:dyDescent="0.3">
      <c r="D27" s="12" t="s">
        <v>66</v>
      </c>
      <c r="E27" s="14" t="s">
        <v>154</v>
      </c>
      <c r="F27" s="14" t="s">
        <v>110</v>
      </c>
      <c r="G27" s="13" t="s">
        <v>157</v>
      </c>
      <c r="H27" s="10" t="s">
        <v>145</v>
      </c>
      <c r="I27" s="11"/>
    </row>
    <row r="28" spans="4:13" ht="13.8" x14ac:dyDescent="0.3">
      <c r="D28" s="12" t="s">
        <v>66</v>
      </c>
      <c r="E28" s="14" t="s">
        <v>155</v>
      </c>
      <c r="F28" s="14" t="s">
        <v>139</v>
      </c>
      <c r="G28" s="13" t="s">
        <v>158</v>
      </c>
      <c r="H28" s="10" t="s">
        <v>144</v>
      </c>
      <c r="I28" s="11"/>
    </row>
    <row r="29" spans="4:13" ht="13.8" x14ac:dyDescent="0.3">
      <c r="D29" s="12" t="s">
        <v>67</v>
      </c>
      <c r="E29" s="14" t="s">
        <v>163</v>
      </c>
      <c r="F29" s="14" t="s">
        <v>139</v>
      </c>
      <c r="G29" s="13" t="s">
        <v>173</v>
      </c>
      <c r="H29" s="10" t="s">
        <v>116</v>
      </c>
      <c r="I29" s="11"/>
    </row>
    <row r="30" spans="4:13" ht="13.8" x14ac:dyDescent="0.3">
      <c r="D30" s="12" t="s">
        <v>67</v>
      </c>
      <c r="E30" s="14" t="s">
        <v>164</v>
      </c>
      <c r="F30" s="14" t="s">
        <v>139</v>
      </c>
      <c r="G30" s="13" t="s">
        <v>173</v>
      </c>
      <c r="H30" s="10" t="s">
        <v>117</v>
      </c>
      <c r="I30" s="11"/>
    </row>
    <row r="31" spans="4:13" ht="13.8" x14ac:dyDescent="0.3">
      <c r="D31" s="12" t="s">
        <v>67</v>
      </c>
      <c r="E31" s="14" t="s">
        <v>165</v>
      </c>
      <c r="F31" s="14" t="s">
        <v>139</v>
      </c>
      <c r="G31" s="13" t="s">
        <v>173</v>
      </c>
      <c r="H31" s="10" t="s">
        <v>174</v>
      </c>
      <c r="I31" s="11"/>
    </row>
    <row r="32" spans="4:13" ht="13.8" x14ac:dyDescent="0.3">
      <c r="D32" s="12" t="s">
        <v>67</v>
      </c>
      <c r="E32" s="14" t="s">
        <v>166</v>
      </c>
      <c r="F32" s="14" t="s">
        <v>139</v>
      </c>
      <c r="G32" s="13" t="s">
        <v>173</v>
      </c>
      <c r="H32" s="10" t="s">
        <v>145</v>
      </c>
      <c r="I32" s="11"/>
    </row>
    <row r="33" spans="4:9" ht="13.8" x14ac:dyDescent="0.3">
      <c r="D33" s="12" t="s">
        <v>67</v>
      </c>
      <c r="E33" s="14" t="s">
        <v>167</v>
      </c>
      <c r="F33" s="14" t="s">
        <v>139</v>
      </c>
      <c r="G33" s="13" t="s">
        <v>140</v>
      </c>
      <c r="H33" s="10" t="s">
        <v>175</v>
      </c>
      <c r="I33" s="11"/>
    </row>
    <row r="34" spans="4:9" ht="34.799999999999997" customHeight="1" x14ac:dyDescent="0.3">
      <c r="D34" s="12" t="s">
        <v>67</v>
      </c>
      <c r="E34" s="17" t="s">
        <v>168</v>
      </c>
      <c r="F34" s="14" t="s">
        <v>139</v>
      </c>
      <c r="G34" s="13" t="s">
        <v>173</v>
      </c>
      <c r="H34" s="10" t="s">
        <v>176</v>
      </c>
      <c r="I34" s="11"/>
    </row>
    <row r="35" spans="4:9" ht="18.600000000000001" customHeight="1" x14ac:dyDescent="0.3">
      <c r="D35" s="12" t="s">
        <v>67</v>
      </c>
      <c r="E35" s="14" t="s">
        <v>169</v>
      </c>
      <c r="F35" s="14" t="s">
        <v>139</v>
      </c>
      <c r="G35" s="13" t="s">
        <v>140</v>
      </c>
      <c r="H35" s="10" t="s">
        <v>177</v>
      </c>
      <c r="I35" s="11"/>
    </row>
    <row r="36" spans="4:9" ht="13.8" x14ac:dyDescent="0.3">
      <c r="D36" s="12" t="s">
        <v>67</v>
      </c>
      <c r="E36" s="14" t="s">
        <v>170</v>
      </c>
      <c r="F36" s="14" t="s">
        <v>139</v>
      </c>
      <c r="G36" s="13" t="s">
        <v>173</v>
      </c>
      <c r="H36" s="10" t="s">
        <v>144</v>
      </c>
      <c r="I36" s="11"/>
    </row>
    <row r="37" spans="4:9" ht="26.4" x14ac:dyDescent="0.3">
      <c r="D37" s="12" t="s">
        <v>67</v>
      </c>
      <c r="E37" s="17" t="s">
        <v>171</v>
      </c>
      <c r="F37" s="14" t="s">
        <v>139</v>
      </c>
      <c r="G37" s="13" t="s">
        <v>173</v>
      </c>
      <c r="H37" s="10" t="s">
        <v>176</v>
      </c>
      <c r="I37" s="11"/>
    </row>
    <row r="38" spans="4:9" ht="13.8" x14ac:dyDescent="0.3">
      <c r="D38" s="12" t="s">
        <v>67</v>
      </c>
      <c r="E38" s="14" t="s">
        <v>172</v>
      </c>
      <c r="F38" s="14" t="s">
        <v>139</v>
      </c>
      <c r="G38" s="13" t="s">
        <v>173</v>
      </c>
      <c r="H38" s="10" t="s">
        <v>116</v>
      </c>
      <c r="I38" s="11"/>
    </row>
    <row r="39" spans="4:9" ht="13.8" x14ac:dyDescent="0.3">
      <c r="D39" s="12" t="s">
        <v>98</v>
      </c>
      <c r="E39" s="15" t="s">
        <v>99</v>
      </c>
      <c r="F39" s="15" t="s">
        <v>109</v>
      </c>
      <c r="G39" s="13" t="s">
        <v>115</v>
      </c>
      <c r="H39" s="13" t="s">
        <v>116</v>
      </c>
      <c r="I39" s="11"/>
    </row>
    <row r="40" spans="4:9" ht="13.8" x14ac:dyDescent="0.3">
      <c r="D40" s="12" t="s">
        <v>98</v>
      </c>
      <c r="E40" s="15" t="s">
        <v>100</v>
      </c>
      <c r="F40" s="15" t="s">
        <v>110</v>
      </c>
      <c r="G40" s="13" t="s">
        <v>115</v>
      </c>
      <c r="H40" s="13" t="s">
        <v>117</v>
      </c>
      <c r="I40" s="11"/>
    </row>
    <row r="41" spans="4:9" ht="13.8" x14ac:dyDescent="0.3">
      <c r="D41" s="12" t="s">
        <v>98</v>
      </c>
      <c r="E41" s="15" t="s">
        <v>101</v>
      </c>
      <c r="F41" s="15" t="s">
        <v>111</v>
      </c>
      <c r="G41" s="13" t="s">
        <v>115</v>
      </c>
      <c r="H41" s="13" t="s">
        <v>117</v>
      </c>
      <c r="I41" s="11"/>
    </row>
    <row r="42" spans="4:9" ht="13.8" x14ac:dyDescent="0.3">
      <c r="D42" s="12" t="s">
        <v>98</v>
      </c>
      <c r="E42" s="15" t="s">
        <v>102</v>
      </c>
      <c r="F42" s="15" t="s">
        <v>111</v>
      </c>
      <c r="G42" s="13" t="s">
        <v>126</v>
      </c>
      <c r="H42" s="13" t="s">
        <v>119</v>
      </c>
      <c r="I42" s="11"/>
    </row>
    <row r="43" spans="4:9" ht="13.8" x14ac:dyDescent="0.3">
      <c r="D43" s="12" t="s">
        <v>98</v>
      </c>
      <c r="E43" s="15" t="s">
        <v>103</v>
      </c>
      <c r="F43" s="15" t="s">
        <v>110</v>
      </c>
      <c r="G43" s="13" t="s">
        <v>126</v>
      </c>
      <c r="H43" s="13" t="s">
        <v>120</v>
      </c>
      <c r="I43" s="11"/>
    </row>
    <row r="44" spans="4:9" ht="13.8" x14ac:dyDescent="0.3">
      <c r="D44" s="12" t="s">
        <v>98</v>
      </c>
      <c r="E44" s="15" t="s">
        <v>104</v>
      </c>
      <c r="F44" s="15" t="s">
        <v>112</v>
      </c>
      <c r="G44" s="13" t="s">
        <v>127</v>
      </c>
      <c r="H44" s="13" t="s">
        <v>121</v>
      </c>
      <c r="I44" s="11"/>
    </row>
    <row r="45" spans="4:9" ht="13.8" x14ac:dyDescent="0.3">
      <c r="D45" s="12" t="s">
        <v>98</v>
      </c>
      <c r="E45" s="15" t="s">
        <v>105</v>
      </c>
      <c r="F45" s="15" t="s">
        <v>113</v>
      </c>
      <c r="G45" s="13" t="s">
        <v>115</v>
      </c>
      <c r="H45" s="13" t="s">
        <v>122</v>
      </c>
      <c r="I45" s="11"/>
    </row>
    <row r="46" spans="4:9" ht="13.8" x14ac:dyDescent="0.3">
      <c r="D46" s="12" t="s">
        <v>98</v>
      </c>
      <c r="E46" s="15" t="s">
        <v>106</v>
      </c>
      <c r="F46" s="15" t="s">
        <v>114</v>
      </c>
      <c r="G46" s="13" t="s">
        <v>118</v>
      </c>
      <c r="H46" s="13" t="s">
        <v>113</v>
      </c>
      <c r="I46" s="11"/>
    </row>
    <row r="47" spans="4:9" ht="13.8" x14ac:dyDescent="0.3">
      <c r="D47" s="12" t="s">
        <v>98</v>
      </c>
      <c r="E47" s="15" t="s">
        <v>107</v>
      </c>
      <c r="F47" s="15" t="s">
        <v>111</v>
      </c>
      <c r="G47" s="13" t="s">
        <v>115</v>
      </c>
      <c r="H47" s="13" t="s">
        <v>123</v>
      </c>
      <c r="I47" s="11"/>
    </row>
    <row r="48" spans="4:9" ht="13.8" x14ac:dyDescent="0.3">
      <c r="D48" s="12" t="s">
        <v>98</v>
      </c>
      <c r="E48" s="15" t="s">
        <v>108</v>
      </c>
      <c r="F48" s="15" t="s">
        <v>111</v>
      </c>
      <c r="G48" s="13" t="s">
        <v>127</v>
      </c>
      <c r="H48" s="13" t="s">
        <v>113</v>
      </c>
      <c r="I48" s="11"/>
    </row>
    <row r="49" spans="4:4" x14ac:dyDescent="0.25">
      <c r="D49" s="7"/>
    </row>
  </sheetData>
  <phoneticPr fontId="3" type="noConversion"/>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FCC95-B52E-4D72-B944-E31594E7CD5F}">
  <dimension ref="B4:B17"/>
  <sheetViews>
    <sheetView workbookViewId="0">
      <selection activeCell="B18" sqref="B18"/>
    </sheetView>
  </sheetViews>
  <sheetFormatPr defaultRowHeight="13.2" x14ac:dyDescent="0.25"/>
  <sheetData>
    <row r="4" spans="2:2" x14ac:dyDescent="0.25">
      <c r="B4" t="s">
        <v>32</v>
      </c>
    </row>
    <row r="5" spans="2:2" x14ac:dyDescent="0.25">
      <c r="B5" t="s">
        <v>33</v>
      </c>
    </row>
    <row r="6" spans="2:2" x14ac:dyDescent="0.25">
      <c r="B6" t="s">
        <v>34</v>
      </c>
    </row>
    <row r="7" spans="2:2" x14ac:dyDescent="0.25">
      <c r="B7" t="s">
        <v>35</v>
      </c>
    </row>
    <row r="8" spans="2:2" x14ac:dyDescent="0.25">
      <c r="B8" t="s">
        <v>36</v>
      </c>
    </row>
    <row r="9" spans="2:2" x14ac:dyDescent="0.25">
      <c r="B9" t="s">
        <v>37</v>
      </c>
    </row>
    <row r="10" spans="2:2" x14ac:dyDescent="0.25">
      <c r="B10" t="s">
        <v>38</v>
      </c>
    </row>
    <row r="11" spans="2:2" x14ac:dyDescent="0.25">
      <c r="B11" t="s">
        <v>39</v>
      </c>
    </row>
    <row r="12" spans="2:2" x14ac:dyDescent="0.25">
      <c r="B12" t="s">
        <v>40</v>
      </c>
    </row>
    <row r="13" spans="2:2" x14ac:dyDescent="0.25">
      <c r="B13" t="s">
        <v>41</v>
      </c>
    </row>
    <row r="14" spans="2:2" x14ac:dyDescent="0.25">
      <c r="B14" t="s">
        <v>42</v>
      </c>
    </row>
    <row r="15" spans="2:2" x14ac:dyDescent="0.25">
      <c r="B15" t="s">
        <v>43</v>
      </c>
    </row>
    <row r="16" spans="2:2" x14ac:dyDescent="0.25">
      <c r="B16" t="s">
        <v>44</v>
      </c>
    </row>
    <row r="17" spans="2:2" x14ac:dyDescent="0.25">
      <c r="B17"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Çalışma Sayfaları</vt:lpstr>
      </vt:variant>
      <vt:variant>
        <vt:i4>4</vt:i4>
      </vt:variant>
    </vt:vector>
  </HeadingPairs>
  <TitlesOfParts>
    <vt:vector size="4" baseType="lpstr">
      <vt:lpstr>Item Definition</vt:lpstr>
      <vt:lpstr>HARA</vt:lpstr>
      <vt:lpstr>FSC</vt:lpstr>
      <vt:lpstr>List of failures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Subasi, Engin</dc:creator>
  <cp:lastModifiedBy>FATİH KÜÇÜKBIYIK</cp:lastModifiedBy>
  <dcterms:created xsi:type="dcterms:W3CDTF">2025-04-29T06:38:28Z</dcterms:created>
  <dcterms:modified xsi:type="dcterms:W3CDTF">2025-05-31T12:47:24Z</dcterms:modified>
</cp:coreProperties>
</file>